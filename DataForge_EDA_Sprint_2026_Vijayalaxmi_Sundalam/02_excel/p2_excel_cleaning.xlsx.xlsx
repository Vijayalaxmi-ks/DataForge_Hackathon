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5"/>
    <sheet state="visible" name="Quality_Audit" sheetId="2" r:id="rId6"/>
    <sheet state="visible" name="Stats Summary" sheetId="3" r:id="rId7"/>
  </sheets>
  <definedNames/>
  <calcPr/>
</workbook>
</file>

<file path=xl/sharedStrings.xml><?xml version="1.0" encoding="utf-8"?>
<sst xmlns="http://schemas.openxmlformats.org/spreadsheetml/2006/main" count="139265" uniqueCount="11730">
  <si>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</si>
  <si>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</si>
  <si>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</si>
  <si>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</si>
  <si>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</si>
  <si>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</si>
  <si>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</si>
  <si>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</si>
  <si>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</si>
  <si>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</si>
  <si>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</si>
  <si>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</si>
  <si>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</si>
  <si>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</si>
  <si>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</si>
  <si>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</si>
  <si>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</si>
  <si>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</si>
  <si>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</si>
  <si>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</si>
  <si>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</si>
  <si>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</si>
  <si>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</si>
  <si>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</si>
  <si>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</si>
  <si>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</si>
  <si>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</si>
  <si>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</si>
  <si>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</si>
  <si>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</si>
  <si>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</si>
  <si>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</si>
  <si>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</si>
  <si>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</si>
  <si>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</si>
  <si>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</si>
  <si>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</si>
  <si>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</si>
  <si>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</si>
  <si>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</si>
  <si>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</si>
  <si>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</si>
  <si>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</si>
  <si>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</si>
  <si>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</si>
  <si>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</si>
  <si>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</si>
  <si>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</si>
  <si>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</si>
  <si>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</si>
  <si>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</si>
  <si>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</si>
  <si>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</si>
  <si>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</si>
  <si>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</si>
  <si>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</si>
  <si>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</si>
  <si>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</si>
  <si>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</si>
  <si>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</si>
  <si>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</si>
  <si>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</si>
  <si>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</si>
  <si>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</si>
  <si>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</si>
  <si>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</si>
  <si>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</si>
  <si>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</si>
  <si>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</si>
  <si>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</si>
  <si>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</si>
  <si>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</si>
  <si>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</si>
  <si>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</si>
  <si>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</si>
  <si>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</si>
  <si>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</si>
  <si>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</si>
  <si>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</si>
  <si>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</si>
  <si>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</si>
  <si>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</si>
  <si>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</si>
  <si>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</si>
  <si>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</si>
  <si>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</si>
  <si>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</si>
  <si>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</si>
  <si>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</si>
  <si>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</si>
  <si>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</si>
  <si>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</si>
  <si>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</si>
  <si>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</si>
  <si>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</si>
  <si>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</si>
  <si>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</si>
  <si>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</si>
  <si>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</si>
  <si>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</si>
  <si>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</si>
  <si>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</si>
  <si>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</si>
  <si>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</si>
  <si>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</si>
  <si>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</si>
  <si>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</si>
  <si>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</si>
  <si>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</si>
  <si>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</si>
  <si>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</si>
  <si>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</si>
  <si>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</si>
  <si>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</si>
  <si>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</si>
  <si>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</si>
  <si>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</si>
  <si>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</si>
  <si>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</si>
  <si>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</si>
  <si>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</si>
  <si>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</si>
  <si>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</si>
  <si>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</si>
  <si>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</si>
  <si>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</si>
  <si>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</si>
  <si>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</si>
  <si>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</si>
  <si>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</si>
  <si>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</si>
  <si>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</si>
  <si>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</si>
  <si>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</si>
  <si>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</si>
  <si>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</si>
  <si>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</si>
  <si>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</si>
  <si>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</si>
  <si>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</si>
  <si>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</si>
  <si>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</si>
  <si>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</si>
  <si>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</si>
  <si>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</si>
  <si>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</si>
  <si>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</si>
  <si>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</si>
  <si>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</si>
  <si>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</si>
  <si>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</si>
  <si>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</si>
  <si>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</si>
  <si>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</si>
  <si>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</si>
  <si>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</si>
  <si>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</si>
  <si>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</si>
  <si>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</si>
  <si>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</si>
  <si>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</si>
  <si>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</si>
  <si>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</si>
  <si>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</si>
  <si>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</si>
  <si>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</si>
  <si>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</si>
  <si>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</si>
  <si>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</si>
  <si>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</si>
  <si>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</si>
  <si>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</si>
  <si>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</si>
  <si>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</si>
  <si>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</si>
  <si>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</si>
  <si>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</si>
  <si>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</si>
  <si>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</si>
  <si>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</si>
  <si>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</si>
  <si>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</si>
  <si>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</si>
  <si>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</si>
  <si>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</si>
  <si>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</si>
  <si>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</si>
  <si>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</si>
  <si>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</si>
  <si>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</si>
  <si>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</si>
  <si>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</si>
  <si>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</si>
  <si>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</si>
  <si>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</si>
  <si>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</si>
  <si>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</si>
  <si>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</si>
  <si>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</si>
  <si>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</si>
  <si>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</si>
  <si>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</si>
  <si>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</si>
  <si>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</si>
  <si>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</si>
  <si>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</si>
  <si>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</si>
  <si>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</si>
  <si>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</si>
  <si>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</si>
  <si>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</si>
  <si>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</si>
  <si>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</si>
  <si>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</si>
  <si>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</si>
  <si>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</si>
  <si>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</si>
  <si>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</si>
  <si>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</si>
  <si>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</si>
  <si>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</si>
  <si>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</si>
  <si>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</si>
  <si>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</si>
  <si>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</si>
  <si>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</si>
  <si>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</si>
  <si>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</si>
  <si>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</si>
  <si>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</si>
  <si>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</si>
  <si>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</si>
  <si>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</si>
  <si>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</si>
  <si>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</si>
  <si>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</si>
  <si>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</si>
  <si>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</si>
  <si>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</si>
  <si>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</si>
  <si>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</si>
  <si>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</si>
  <si>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</si>
  <si>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</si>
  <si>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</si>
  <si>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</si>
  <si>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</si>
  <si>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</si>
  <si>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</si>
  <si>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</si>
  <si>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</si>
  <si>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</si>
  <si>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</si>
  <si>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</si>
  <si>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</si>
  <si>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</si>
  <si>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</si>
  <si>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</si>
  <si>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</si>
  <si>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</si>
  <si>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</si>
  <si>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</si>
  <si>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</si>
  <si>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</si>
  <si>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</si>
  <si>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</si>
  <si>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</si>
  <si>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</si>
  <si>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</si>
  <si>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</si>
  <si>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</si>
  <si>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</si>
  <si>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</si>
  <si>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</si>
  <si>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</si>
  <si>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</si>
  <si>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</si>
  <si>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</si>
  <si>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</si>
  <si>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</si>
  <si>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</si>
  <si>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</si>
  <si>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</si>
  <si>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</si>
  <si>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</si>
  <si>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</si>
  <si>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</si>
  <si>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</si>
  <si>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</si>
  <si>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</si>
  <si>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</si>
  <si>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</si>
  <si>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</si>
  <si>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</si>
  <si>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</si>
  <si>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</si>
  <si>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</si>
  <si>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</si>
  <si>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</si>
  <si>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</si>
  <si>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</si>
  <si>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</si>
  <si>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</si>
  <si>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</si>
  <si>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</si>
  <si>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</si>
  <si>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</si>
  <si>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</si>
  <si>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</si>
  <si>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</si>
  <si>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</si>
  <si>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</si>
  <si>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</si>
  <si>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</si>
  <si>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</si>
  <si>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</si>
  <si>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</si>
  <si>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</si>
  <si>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</si>
  <si>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</si>
  <si>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</si>
  <si>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</si>
  <si>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</si>
  <si>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</si>
  <si>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</si>
  <si>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</si>
  <si>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</si>
  <si>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</si>
  <si>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</si>
  <si>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</si>
  <si>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</si>
  <si>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</si>
  <si>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</si>
  <si>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</si>
  <si>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</si>
  <si>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</si>
  <si>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</si>
  <si>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</si>
  <si>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</si>
  <si>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</si>
  <si>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</si>
  <si>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</si>
  <si>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</si>
  <si>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</si>
  <si>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</si>
  <si>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</si>
  <si>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</si>
  <si>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</si>
  <si>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</si>
  <si>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</si>
  <si>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</si>
  <si>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</si>
  <si>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</si>
  <si>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</si>
  <si>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</si>
  <si>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</si>
  <si>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</si>
  <si>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</si>
  <si>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</si>
  <si>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</si>
  <si>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</si>
  <si>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</si>
  <si>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</si>
  <si>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</si>
  <si>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</si>
  <si>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</si>
  <si>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</si>
  <si>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</si>
  <si>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</si>
  <si>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</si>
  <si>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</si>
  <si>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</si>
  <si>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</si>
  <si>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</si>
  <si>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</si>
  <si>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</si>
  <si>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</si>
  <si>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</si>
  <si>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</si>
  <si>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</si>
  <si>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</si>
  <si>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</si>
  <si>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</si>
  <si>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</si>
  <si>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</si>
  <si>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</si>
  <si>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</si>
  <si>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</si>
  <si>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</si>
  <si>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</si>
  <si>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</si>
  <si>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</si>
  <si>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</si>
  <si>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</si>
  <si>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</si>
  <si>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</si>
  <si>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</si>
  <si>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</si>
  <si>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</si>
  <si>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</si>
  <si>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</si>
  <si>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</si>
  <si>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</si>
  <si>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</si>
  <si>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</si>
  <si>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</si>
  <si>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</si>
  <si>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</si>
  <si>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</si>
  <si>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</si>
  <si>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</si>
  <si>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</si>
  <si>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</si>
  <si>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</si>
  <si>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</si>
  <si>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</si>
  <si>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</si>
  <si>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</si>
  <si>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</si>
  <si>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</si>
  <si>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</si>
  <si>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</si>
  <si>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</si>
  <si>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</si>
  <si>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</si>
  <si>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</si>
  <si>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</si>
  <si>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</si>
  <si>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</si>
  <si>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</si>
  <si>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</si>
  <si>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</si>
  <si>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</si>
  <si>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</si>
  <si>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</si>
  <si>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</si>
  <si>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</si>
  <si>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</si>
  <si>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</si>
  <si>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</si>
  <si>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</si>
  <si>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</si>
  <si>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</si>
  <si>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</si>
  <si>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</si>
  <si>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</si>
  <si>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</si>
  <si>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</si>
  <si>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</si>
  <si>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</si>
  <si>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</si>
  <si>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</si>
  <si>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</si>
  <si>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</si>
  <si>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</si>
  <si>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</si>
  <si>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</si>
  <si>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</si>
  <si>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</si>
  <si>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</si>
  <si>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</si>
  <si>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</si>
  <si>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</si>
  <si>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</si>
  <si>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</si>
  <si>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</si>
  <si>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</si>
  <si>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</si>
  <si>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</si>
  <si>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</si>
  <si>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</si>
  <si>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</si>
  <si>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</si>
  <si>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</si>
  <si>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</si>
  <si>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</si>
  <si>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</si>
  <si>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</si>
  <si>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</si>
  <si>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</si>
  <si>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</si>
  <si>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</si>
  <si>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</si>
  <si>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</si>
  <si>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</si>
  <si>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</si>
  <si>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</si>
  <si>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</si>
  <si>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</si>
  <si>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</si>
  <si>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</si>
  <si>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</si>
  <si>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</si>
  <si>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</si>
  <si>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</si>
  <si>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</si>
  <si>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</si>
  <si>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</si>
  <si>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</si>
  <si>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</si>
  <si>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</si>
  <si>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</si>
  <si>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</si>
  <si>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</si>
  <si>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</si>
  <si>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</si>
  <si>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</si>
  <si>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</si>
  <si>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</si>
  <si>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</si>
  <si>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</si>
  <si>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</si>
  <si>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</si>
  <si>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</si>
  <si>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</si>
  <si>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</si>
  <si>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</si>
  <si>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</si>
  <si>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</si>
  <si>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</si>
  <si>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</si>
  <si>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</si>
  <si>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</si>
  <si>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</si>
  <si>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</si>
  <si>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</si>
  <si>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</si>
  <si>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</si>
  <si>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</si>
  <si>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</si>
  <si>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</si>
  <si>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</si>
  <si>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</si>
  <si>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</si>
  <si>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</si>
  <si>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</si>
  <si>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</si>
  <si>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</si>
  <si>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</si>
  <si>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</si>
  <si>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</si>
  <si>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</si>
  <si>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</si>
  <si>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</si>
  <si>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</si>
  <si>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</si>
  <si>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</si>
  <si>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</si>
  <si>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</si>
  <si>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</si>
  <si>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</si>
  <si>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</si>
  <si>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</si>
  <si>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</si>
  <si>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</si>
  <si>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</si>
  <si>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</si>
  <si>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</si>
  <si>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</si>
  <si>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</si>
  <si>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</si>
  <si>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</si>
  <si>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</si>
  <si>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</si>
  <si>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</si>
  <si>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</si>
  <si>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</si>
  <si>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</si>
  <si>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</si>
  <si>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</si>
  <si>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</si>
  <si>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</si>
  <si>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</si>
  <si>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</si>
  <si>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</si>
  <si>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</si>
  <si>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</si>
  <si>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</si>
  <si>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</si>
  <si>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</si>
  <si>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</si>
  <si>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</si>
  <si>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</si>
  <si>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</si>
  <si>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</si>
  <si>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</si>
  <si>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</si>
  <si>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</si>
  <si>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</si>
  <si>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</si>
  <si>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</si>
  <si>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</si>
  <si>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</si>
  <si>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</si>
  <si>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</si>
  <si>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</si>
  <si>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</si>
  <si>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</si>
  <si>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</si>
  <si>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</si>
  <si>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</si>
  <si>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</si>
  <si>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</si>
  <si>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</si>
  <si>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</si>
  <si>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</si>
  <si>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</si>
  <si>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</si>
  <si>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</si>
  <si>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</si>
  <si>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</si>
  <si>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</si>
  <si>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</si>
  <si>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</si>
  <si>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</si>
  <si>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</si>
  <si>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</si>
  <si>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</si>
  <si>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</si>
  <si>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</si>
  <si>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</si>
  <si>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</si>
  <si>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</si>
  <si>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</si>
  <si>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</si>
  <si>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</si>
  <si>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</si>
  <si>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</si>
  <si>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</si>
  <si>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</si>
  <si>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</si>
  <si>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</si>
  <si>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</si>
  <si>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</si>
  <si>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</si>
  <si>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</si>
  <si>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</si>
  <si>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</si>
  <si>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</si>
  <si>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</si>
  <si>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</si>
  <si>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</si>
  <si>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</si>
  <si>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</si>
  <si>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</si>
  <si>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</si>
  <si>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</si>
  <si>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</si>
  <si>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</si>
  <si>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</si>
  <si>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</si>
  <si>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</si>
  <si>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</si>
  <si>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</si>
  <si>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</si>
  <si>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</si>
  <si>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</si>
  <si>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</si>
  <si>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</si>
  <si>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</si>
  <si>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</si>
  <si>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</si>
  <si>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</si>
  <si>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</si>
  <si>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</si>
  <si>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</si>
  <si>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</si>
  <si>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</si>
  <si>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</si>
  <si>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</si>
  <si>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</si>
  <si>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</si>
  <si>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</si>
  <si>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</si>
  <si>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</si>
  <si>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</si>
  <si>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</si>
  <si>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</si>
  <si>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</si>
  <si>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</si>
  <si>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</si>
  <si>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</si>
  <si>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</si>
  <si>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</si>
  <si>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</si>
  <si>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</si>
  <si>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</si>
  <si>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</si>
  <si>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</si>
  <si>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</si>
  <si>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</si>
  <si>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</si>
  <si>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</si>
  <si>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</si>
  <si>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</si>
  <si>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</si>
  <si>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</si>
  <si>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</si>
  <si>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</si>
  <si>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</si>
  <si>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</si>
  <si>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</si>
  <si>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</si>
  <si>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</si>
  <si>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</si>
  <si>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</si>
  <si>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</si>
  <si>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</si>
  <si>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</si>
  <si>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</si>
  <si>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</si>
  <si>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</si>
  <si>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</si>
  <si>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</si>
  <si>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</si>
  <si>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</si>
  <si>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</si>
  <si>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</si>
  <si>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</si>
  <si>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</si>
  <si>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</si>
  <si>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</si>
  <si>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</si>
  <si>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</si>
  <si>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</si>
  <si>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</si>
  <si>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</si>
  <si>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</si>
  <si>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</si>
  <si>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</si>
  <si>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</si>
  <si>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</si>
  <si>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</si>
  <si>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</si>
  <si>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</si>
  <si>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</si>
  <si>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</si>
  <si>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</si>
  <si>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</si>
  <si>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</si>
  <si>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</si>
  <si>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</si>
  <si>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</si>
  <si>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</si>
  <si>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</si>
  <si>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</si>
  <si>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</si>
  <si>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</si>
  <si>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</si>
  <si>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</si>
  <si>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</si>
  <si>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</si>
  <si>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</si>
  <si>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</si>
  <si>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</si>
  <si>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</si>
  <si>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</si>
  <si>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</si>
  <si>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</si>
  <si>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</si>
  <si>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</si>
  <si>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</si>
  <si>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</si>
  <si>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</si>
  <si>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</si>
  <si>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</si>
  <si>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</si>
  <si>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</si>
  <si>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</si>
  <si>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</si>
  <si>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</si>
  <si>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</si>
  <si>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</si>
  <si>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</si>
  <si>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</si>
  <si>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</si>
  <si>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</si>
  <si>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</si>
  <si>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</si>
  <si>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</si>
  <si>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</si>
  <si>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</si>
  <si>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</si>
  <si>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</si>
  <si>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</si>
  <si>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</si>
  <si>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</si>
  <si>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</si>
  <si>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</si>
  <si>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</si>
  <si>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</si>
  <si>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</si>
  <si>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</si>
  <si>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</si>
  <si>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</si>
  <si>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</si>
  <si>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</si>
  <si>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</si>
  <si>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</si>
  <si>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</si>
  <si>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</si>
  <si>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</si>
  <si>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</si>
  <si>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</si>
  <si>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</si>
  <si>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</si>
  <si>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</si>
  <si>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</si>
  <si>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</si>
  <si>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</si>
  <si>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</si>
  <si>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</si>
  <si>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</si>
  <si>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</si>
  <si>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</si>
  <si>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</si>
  <si>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</si>
  <si>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</si>
  <si>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</si>
  <si>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</si>
  <si>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</si>
  <si>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</si>
  <si>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</si>
  <si>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</si>
  <si>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</si>
  <si>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</si>
  <si>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</si>
  <si>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</si>
  <si>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</si>
  <si>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</si>
  <si>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</si>
  <si>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</si>
  <si>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</si>
  <si>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</si>
  <si>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</si>
  <si>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</si>
  <si>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</si>
  <si>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</si>
  <si>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</si>
  <si>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</si>
  <si>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</si>
  <si>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</si>
  <si>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</si>
  <si>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</si>
  <si>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</si>
  <si>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</si>
  <si>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</si>
  <si>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</si>
  <si>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</si>
  <si>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</si>
  <si>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</si>
  <si>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</si>
  <si>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</si>
  <si>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</si>
  <si>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</si>
  <si>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</si>
  <si>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</si>
  <si>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</si>
  <si>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</si>
  <si>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</si>
  <si>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</si>
  <si>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</si>
  <si>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</si>
  <si>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</si>
  <si>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</si>
  <si>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</si>
  <si>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</si>
  <si>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</si>
  <si>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</si>
  <si>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</si>
  <si>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</si>
  <si>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</si>
  <si>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</si>
  <si>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</si>
  <si>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</si>
  <si>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</si>
  <si>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</si>
  <si>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</si>
  <si>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</si>
  <si>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</si>
  <si>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</si>
  <si>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</si>
  <si>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</si>
  <si>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</si>
  <si>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</si>
  <si>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</si>
  <si>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</si>
  <si>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</si>
  <si>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</si>
  <si>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</si>
  <si>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</si>
  <si>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</si>
  <si>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</si>
  <si>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</si>
  <si>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</si>
  <si>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</si>
  <si>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</si>
  <si>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</si>
  <si>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</si>
  <si>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</si>
  <si>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</si>
  <si>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</si>
  <si>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</si>
  <si>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</si>
  <si>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</si>
  <si>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</si>
  <si>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</si>
  <si>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</si>
  <si>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</si>
  <si>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</si>
  <si>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</si>
  <si>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</si>
  <si>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</si>
  <si>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</si>
  <si>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</si>
  <si>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</si>
  <si>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</si>
  <si>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</si>
  <si>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</si>
  <si>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</si>
  <si>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</si>
  <si>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</si>
  <si>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</si>
  <si>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</si>
  <si>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</si>
  <si>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</si>
  <si>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</si>
  <si>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</si>
  <si>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</si>
  <si>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</si>
  <si>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</si>
  <si>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</si>
  <si>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</si>
  <si>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</si>
  <si>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</si>
  <si>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</si>
  <si>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</si>
  <si>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</si>
  <si>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</si>
  <si>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</si>
  <si>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</si>
  <si>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</si>
  <si>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</si>
  <si>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</si>
  <si>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</si>
  <si>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</si>
  <si>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</si>
  <si>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</si>
  <si>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</si>
  <si>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</si>
  <si>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</si>
  <si>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</si>
  <si>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</si>
  <si>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</si>
  <si>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</si>
  <si>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</si>
  <si>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</si>
  <si>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</si>
  <si>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</si>
  <si>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</si>
  <si>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</si>
  <si>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</si>
  <si>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</si>
  <si>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</si>
  <si>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</si>
  <si>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</si>
  <si>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</si>
  <si>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</si>
  <si>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</si>
  <si>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</si>
  <si>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</si>
  <si>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</si>
  <si>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</si>
  <si>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</si>
  <si>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</si>
  <si>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</si>
  <si>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</si>
  <si>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</si>
  <si>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</si>
  <si>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</si>
  <si>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</si>
  <si>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</si>
  <si>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</si>
  <si>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</si>
  <si>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</si>
  <si>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</si>
  <si>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</si>
  <si>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</si>
  <si>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</si>
  <si>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</si>
  <si>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</si>
  <si>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</si>
  <si>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</si>
  <si>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</si>
  <si>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</si>
  <si>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</si>
  <si>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</si>
  <si>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</si>
  <si>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</si>
  <si>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</si>
  <si>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</si>
  <si>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</si>
  <si>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</si>
  <si>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</si>
  <si>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</si>
  <si>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</si>
  <si>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</si>
  <si>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</si>
  <si>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</si>
  <si>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</si>
  <si>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</si>
  <si>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</si>
  <si>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</si>
  <si>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</si>
  <si>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</si>
  <si>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</si>
  <si>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</si>
  <si>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</si>
  <si>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</si>
  <si>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</si>
  <si>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</si>
  <si>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</si>
  <si>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</si>
  <si>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</si>
  <si>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</si>
  <si>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</si>
  <si>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</si>
  <si>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</si>
  <si>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</si>
  <si>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</si>
  <si>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</si>
  <si>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</si>
  <si>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</si>
  <si>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</si>
  <si>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</si>
  <si>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</si>
  <si>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</si>
  <si>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</si>
  <si>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</si>
  <si>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</si>
  <si>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</si>
  <si>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</si>
  <si>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</si>
  <si>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</si>
  <si>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</si>
  <si>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</si>
  <si>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</si>
  <si>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</si>
  <si>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</si>
  <si>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</si>
  <si>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</si>
  <si>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</si>
  <si>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</si>
  <si>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</si>
  <si>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</si>
  <si>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</si>
  <si>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</si>
  <si>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</si>
  <si>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</si>
  <si>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</si>
  <si>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</si>
  <si>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</si>
  <si>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</si>
  <si>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</si>
  <si>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</si>
  <si>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</si>
  <si>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</si>
  <si>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</si>
  <si>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</si>
  <si>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</si>
  <si>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</si>
  <si>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</si>
  <si>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</si>
  <si>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</si>
  <si>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</si>
  <si>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</si>
  <si>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</si>
  <si>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</si>
  <si>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</si>
  <si>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</si>
  <si>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</si>
  <si>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</si>
  <si>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</si>
  <si>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</si>
  <si>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</si>
  <si>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</si>
  <si>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</si>
  <si>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</si>
  <si>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</si>
  <si>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</si>
  <si>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</si>
  <si>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</si>
  <si>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</si>
  <si>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</si>
  <si>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</si>
  <si>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</si>
  <si>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</si>
  <si>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</si>
  <si>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</si>
  <si>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</si>
  <si>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</si>
  <si>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</si>
  <si>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</si>
  <si>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</si>
  <si>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</si>
  <si>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</si>
  <si>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</si>
  <si>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</si>
  <si>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</si>
  <si>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</si>
  <si>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</si>
  <si>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</si>
  <si>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</si>
  <si>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</si>
  <si>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</si>
  <si>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</si>
  <si>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</si>
  <si>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</si>
  <si>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</si>
  <si>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</si>
  <si>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</si>
  <si>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</si>
  <si>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</si>
  <si>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</si>
  <si>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</si>
  <si>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</si>
  <si>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</si>
  <si>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</si>
  <si>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</si>
  <si>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</si>
  <si>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</si>
  <si>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</si>
  <si>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</si>
  <si>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</si>
  <si>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</si>
  <si>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</si>
  <si>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</si>
  <si>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</si>
  <si>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</si>
  <si>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</si>
  <si>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</si>
  <si>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</si>
  <si>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</si>
  <si>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</si>
  <si>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</si>
  <si>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</si>
  <si>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</si>
  <si>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</si>
  <si>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</si>
  <si>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</si>
  <si>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</si>
  <si>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</si>
  <si>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</si>
  <si>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</si>
  <si>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</si>
  <si>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</si>
  <si>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</si>
  <si>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</si>
  <si>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</si>
  <si>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</si>
  <si>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</si>
  <si>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</si>
  <si>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</si>
  <si>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</si>
  <si>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</si>
  <si>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</si>
  <si>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</si>
  <si>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</si>
  <si>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</si>
  <si>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</si>
  <si>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</si>
  <si>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</si>
  <si>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</si>
  <si>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</si>
  <si>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</si>
  <si>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</si>
  <si>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</si>
  <si>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</si>
  <si>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</si>
  <si>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</si>
  <si>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</si>
  <si>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</si>
  <si>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</si>
  <si>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</si>
  <si>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</si>
  <si>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</si>
  <si>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</si>
  <si>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</si>
  <si>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</si>
  <si>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</si>
  <si>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</si>
  <si>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</si>
  <si>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</si>
  <si>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</si>
  <si>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</si>
  <si>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</si>
  <si>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</si>
  <si>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</si>
  <si>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</si>
  <si>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</si>
  <si>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</si>
  <si>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</si>
  <si>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</si>
  <si>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</si>
  <si>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</si>
  <si>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</si>
  <si>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</si>
  <si>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</si>
  <si>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</si>
  <si>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</si>
  <si>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</si>
  <si>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</si>
  <si>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</si>
  <si>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</si>
  <si>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</si>
  <si>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</si>
  <si>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</si>
  <si>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</si>
  <si>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</si>
  <si>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</si>
  <si>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</si>
  <si>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</si>
  <si>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</si>
  <si>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</si>
  <si>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</si>
  <si>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</si>
  <si>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</si>
  <si>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</si>
  <si>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</si>
  <si>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</si>
  <si>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</si>
  <si>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</si>
  <si>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</si>
  <si>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</si>
  <si>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</si>
  <si>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</si>
  <si>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</si>
  <si>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</si>
  <si>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</si>
  <si>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</si>
  <si>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</si>
  <si>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</si>
  <si>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</si>
  <si>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</si>
  <si>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</si>
  <si>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</si>
  <si>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</si>
  <si>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</si>
  <si>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</si>
  <si>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</si>
  <si>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</si>
  <si>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</si>
  <si>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</si>
  <si>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</si>
  <si>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</si>
  <si>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</si>
  <si>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</si>
  <si>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</si>
  <si>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</si>
  <si>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</si>
  <si>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</si>
  <si>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</si>
  <si>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</si>
  <si>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</si>
  <si>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</si>
  <si>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</si>
  <si>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</si>
  <si>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</si>
  <si>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</si>
  <si>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</si>
  <si>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</si>
  <si>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</si>
  <si>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</si>
  <si>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</si>
  <si>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</si>
  <si>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</si>
  <si>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</si>
  <si>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</si>
  <si>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</si>
  <si>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</si>
  <si>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</si>
  <si>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</si>
  <si>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</si>
  <si>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</si>
  <si>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</si>
  <si>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</si>
  <si>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</si>
  <si>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</si>
  <si>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</si>
  <si>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</si>
  <si>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</si>
  <si>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</si>
  <si>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</si>
  <si>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</si>
  <si>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</si>
  <si>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</si>
  <si>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</si>
  <si>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</si>
  <si>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</si>
  <si>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</si>
  <si>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</si>
  <si>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</si>
  <si>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</si>
  <si>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</si>
  <si>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</si>
  <si>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</si>
  <si>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</si>
  <si>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</si>
  <si>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</si>
  <si>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</si>
  <si>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</si>
  <si>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</si>
  <si>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</si>
  <si>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</si>
  <si>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</si>
  <si>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</si>
  <si>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</si>
  <si>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</si>
  <si>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</si>
  <si>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</si>
  <si>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</si>
  <si>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</si>
  <si>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</si>
  <si>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</si>
  <si>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</si>
  <si>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</si>
  <si>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</si>
  <si>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</si>
  <si>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</si>
  <si>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</si>
  <si>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</si>
  <si>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</si>
  <si>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</si>
  <si>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</si>
  <si>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</si>
  <si>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</si>
  <si>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</si>
  <si>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</si>
  <si>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</si>
  <si>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</si>
  <si>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</si>
  <si>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</si>
  <si>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</si>
  <si>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</si>
  <si>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</si>
  <si>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</si>
  <si>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</si>
  <si>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</si>
  <si>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</si>
  <si>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</si>
  <si>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</si>
  <si>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</si>
  <si>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</si>
  <si>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</si>
  <si>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</si>
  <si>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</si>
  <si>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</si>
  <si>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</si>
  <si>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</si>
  <si>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</si>
  <si>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</si>
  <si>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</si>
  <si>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</si>
  <si>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</si>
  <si>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</si>
  <si>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</si>
  <si>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</si>
  <si>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</si>
  <si>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</si>
  <si>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</si>
  <si>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</si>
  <si>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</si>
  <si>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</si>
  <si>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</si>
  <si>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</si>
  <si>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</si>
  <si>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</si>
  <si>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</si>
  <si>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</si>
  <si>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</si>
  <si>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</si>
  <si>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</si>
  <si>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</si>
  <si>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</si>
  <si>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</si>
  <si>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</si>
  <si>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</si>
  <si>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</si>
  <si>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</si>
  <si>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</si>
  <si>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</si>
  <si>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</si>
  <si>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</si>
  <si>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</si>
  <si>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</si>
  <si>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</si>
  <si>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</si>
  <si>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</si>
  <si>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</si>
  <si>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</si>
  <si>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</si>
  <si>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</si>
  <si>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</si>
  <si>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</si>
  <si>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</si>
  <si>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</si>
  <si>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</si>
  <si>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</si>
  <si>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</si>
  <si>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</si>
  <si>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</si>
  <si>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</si>
  <si>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</si>
  <si>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</si>
  <si>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</si>
  <si>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</si>
  <si>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</si>
  <si>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</si>
  <si>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</si>
  <si>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</si>
  <si>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</si>
  <si>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</si>
  <si>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</si>
  <si>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</si>
  <si>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</si>
  <si>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</si>
  <si>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</si>
  <si>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</si>
  <si>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</si>
  <si>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</si>
  <si>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</si>
  <si>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</si>
  <si>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</si>
  <si>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</si>
  <si>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</si>
  <si>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</si>
  <si>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</si>
  <si>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</si>
  <si>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</si>
  <si>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</si>
  <si>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</si>
  <si>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</si>
  <si>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</si>
  <si>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</si>
  <si>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</si>
  <si>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</si>
  <si>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</si>
  <si>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</si>
  <si>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</si>
  <si>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</si>
  <si>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</si>
  <si>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</si>
  <si>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</si>
  <si>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</si>
  <si>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</si>
  <si>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</si>
  <si>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</si>
  <si>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</si>
  <si>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</si>
  <si>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</si>
  <si>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</si>
  <si>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</si>
  <si>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</si>
  <si>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</si>
  <si>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</si>
  <si>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</si>
  <si>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</si>
  <si>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</si>
  <si>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</si>
  <si>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</si>
  <si>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</si>
  <si>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</si>
  <si>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</si>
  <si>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</si>
  <si>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</si>
  <si>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</si>
  <si>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</si>
  <si>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</si>
  <si>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</si>
  <si>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</si>
  <si>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</si>
  <si>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</si>
  <si>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</si>
  <si>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</si>
  <si>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</si>
  <si>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</si>
  <si>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</si>
  <si>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</si>
  <si>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</si>
  <si>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</si>
  <si>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</si>
  <si>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</si>
  <si>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</si>
  <si>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</si>
  <si>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</si>
  <si>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</si>
  <si>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</si>
  <si>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</si>
  <si>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</si>
  <si>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</si>
  <si>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</si>
  <si>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</si>
  <si>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</si>
  <si>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</si>
  <si>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</si>
  <si>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</si>
  <si>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</si>
  <si>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</si>
  <si>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</si>
  <si>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</si>
  <si>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</si>
  <si>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</si>
  <si>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</si>
  <si>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</si>
  <si>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</si>
  <si>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</si>
  <si>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</si>
  <si>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</si>
  <si>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</si>
  <si>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</si>
  <si>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</si>
  <si>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</si>
  <si>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</si>
  <si>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</si>
  <si>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</si>
  <si>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</si>
  <si>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</si>
  <si>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</si>
  <si>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</si>
  <si>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</si>
  <si>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</si>
  <si>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</si>
  <si>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</si>
  <si>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</si>
  <si>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</si>
  <si>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</si>
  <si>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</si>
  <si>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</si>
  <si>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</si>
  <si>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</si>
  <si>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</si>
  <si>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</si>
  <si>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</si>
  <si>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</si>
  <si>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</si>
  <si>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</si>
  <si>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</si>
  <si>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</si>
  <si>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</si>
  <si>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</si>
  <si>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</si>
  <si>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</si>
  <si>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</si>
  <si>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</si>
  <si>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</si>
  <si>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</si>
  <si>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</si>
  <si>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</si>
  <si>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</si>
  <si>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</si>
  <si>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</si>
  <si>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</si>
  <si>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</si>
  <si>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</si>
  <si>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</si>
  <si>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</si>
  <si>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</si>
  <si>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</si>
  <si>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</si>
  <si>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</si>
  <si>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</si>
  <si>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</si>
  <si>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</si>
  <si>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</si>
  <si>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</si>
  <si>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</si>
  <si>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</si>
  <si>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</si>
  <si>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</si>
  <si>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</si>
  <si>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</si>
  <si>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</si>
  <si>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</si>
  <si>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</si>
  <si>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</si>
  <si>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</si>
  <si>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</si>
  <si>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</si>
  <si>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</si>
  <si>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</si>
  <si>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</si>
  <si>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</si>
  <si>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</si>
  <si>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</si>
  <si>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</si>
  <si>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</si>
  <si>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</si>
  <si>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</si>
  <si>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</si>
  <si>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</si>
  <si>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</si>
  <si>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</si>
  <si>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</si>
  <si>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</si>
  <si>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</si>
  <si>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</si>
  <si>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</si>
  <si>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</si>
  <si>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</si>
  <si>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</si>
  <si>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</si>
  <si>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</si>
  <si>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</si>
  <si>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</si>
  <si>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</si>
  <si>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</si>
  <si>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</si>
  <si>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</si>
  <si>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</si>
  <si>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</si>
  <si>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</si>
  <si>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</si>
  <si>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</si>
  <si>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</si>
  <si>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</si>
  <si>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</si>
  <si>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</si>
  <si>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</si>
  <si>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</si>
  <si>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</si>
  <si>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</si>
  <si>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</si>
  <si>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</si>
  <si>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</si>
  <si>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</si>
  <si>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</si>
  <si>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</si>
  <si>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</si>
  <si>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</si>
  <si>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</si>
  <si>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</si>
  <si>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</si>
  <si>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</si>
  <si>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</si>
  <si>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</si>
  <si>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</si>
  <si>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</si>
  <si>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</si>
  <si>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</si>
  <si>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</si>
  <si>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</si>
  <si>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</si>
  <si>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</si>
  <si>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</si>
  <si>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</si>
  <si>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</si>
  <si>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</si>
  <si>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</si>
  <si>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</si>
  <si>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</si>
  <si>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</si>
  <si>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</si>
  <si>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</si>
  <si>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</si>
  <si>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</si>
  <si>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</si>
  <si>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</si>
  <si>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</si>
  <si>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</si>
  <si>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</si>
  <si>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</si>
  <si>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</si>
  <si>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</si>
  <si>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</si>
  <si>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</si>
  <si>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</si>
  <si>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</si>
  <si>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</si>
  <si>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</si>
  <si>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</si>
  <si>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</si>
  <si>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</si>
  <si>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</si>
  <si>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</si>
  <si>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</si>
  <si>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</si>
  <si>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</si>
  <si>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</si>
  <si>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</si>
  <si>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</si>
  <si>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</si>
  <si>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</si>
  <si>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</si>
  <si>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</si>
  <si>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</si>
  <si>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</si>
  <si>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</si>
  <si>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</si>
  <si>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</si>
  <si>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</si>
  <si>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</si>
  <si>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</si>
  <si>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</si>
  <si>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</si>
  <si>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</si>
  <si>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</si>
  <si>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</si>
  <si>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</si>
  <si>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</si>
  <si>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</si>
  <si>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</si>
  <si>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</si>
  <si>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</si>
  <si>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</si>
  <si>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</si>
  <si>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</si>
  <si>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</si>
  <si>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</si>
  <si>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</si>
  <si>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</si>
  <si>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</si>
  <si>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</si>
  <si>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</si>
  <si>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</si>
  <si>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</si>
  <si>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</si>
  <si>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</si>
  <si>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</si>
  <si>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</si>
  <si>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</si>
  <si>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</si>
  <si>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</si>
  <si>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</si>
  <si>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</si>
  <si>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</si>
  <si>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</si>
  <si>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</si>
  <si>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</si>
  <si>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</si>
  <si>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</si>
  <si>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</si>
  <si>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</si>
  <si>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</si>
  <si>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</si>
  <si>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</si>
  <si>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</si>
  <si>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</si>
  <si>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</si>
  <si>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</si>
  <si>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</si>
  <si>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</si>
  <si>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</si>
  <si>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</si>
  <si>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</si>
  <si>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</si>
  <si>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</si>
  <si>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</si>
  <si>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</si>
  <si>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</si>
  <si>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</si>
  <si>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</si>
  <si>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</si>
  <si>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</si>
  <si>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</si>
  <si>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</si>
  <si>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</si>
  <si>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</si>
  <si>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</si>
  <si>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</si>
  <si>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</si>
  <si>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</si>
  <si>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</si>
  <si>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</si>
  <si>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</si>
  <si>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</si>
  <si>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</si>
  <si>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</si>
  <si>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</si>
  <si>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</si>
  <si>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</si>
  <si>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</si>
  <si>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</si>
  <si>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</si>
  <si>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</si>
  <si>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</si>
  <si>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</si>
  <si>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</si>
  <si>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</si>
  <si>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</si>
  <si>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</si>
  <si>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</si>
  <si>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</si>
  <si>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</si>
  <si>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</si>
  <si>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</si>
  <si>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</si>
  <si>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</si>
  <si>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</si>
  <si>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</si>
  <si>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</si>
  <si>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</si>
  <si>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</si>
  <si>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</si>
  <si>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</si>
  <si>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</si>
  <si>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</si>
  <si>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</si>
  <si>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</si>
  <si>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</si>
  <si>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</si>
  <si>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</si>
  <si>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</si>
  <si>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</si>
  <si>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</si>
  <si>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</si>
  <si>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</si>
  <si>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</si>
  <si>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</si>
  <si>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</si>
  <si>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</si>
  <si>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</si>
  <si>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</si>
  <si>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</si>
  <si>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</si>
  <si>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</si>
  <si>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</si>
  <si>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</si>
  <si>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</si>
  <si>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</si>
  <si>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</si>
  <si>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</si>
  <si>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</si>
  <si>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</si>
  <si>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</si>
  <si>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</si>
  <si>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</si>
  <si>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</si>
  <si>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</si>
  <si>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</si>
  <si>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</si>
  <si>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</si>
  <si>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</si>
  <si>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</si>
  <si>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</si>
  <si>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</si>
  <si>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</si>
  <si>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</si>
  <si>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</si>
  <si>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</si>
  <si>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</si>
  <si>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</si>
  <si>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</si>
  <si>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</si>
  <si>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</si>
  <si>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</si>
  <si>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</si>
  <si>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</si>
  <si>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</si>
  <si>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</si>
  <si>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</si>
  <si>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</si>
  <si>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</si>
  <si>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</si>
  <si>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</si>
  <si>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</si>
  <si>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</si>
  <si>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</si>
  <si>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</si>
  <si>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</si>
  <si>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</si>
  <si>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</si>
  <si>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</si>
  <si>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</si>
  <si>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</si>
  <si>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</si>
  <si>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</si>
  <si>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</si>
  <si>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</si>
  <si>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</si>
  <si>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</si>
  <si>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</si>
  <si>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</si>
  <si>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</si>
  <si>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</si>
  <si>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</si>
  <si>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</si>
  <si>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</si>
  <si>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</si>
  <si>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</si>
  <si>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</si>
  <si>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</si>
  <si>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</si>
  <si>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</si>
  <si>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</si>
  <si>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</si>
  <si>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</si>
  <si>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</si>
  <si>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</si>
  <si>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</si>
  <si>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</si>
  <si>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</si>
  <si>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</si>
  <si>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</si>
  <si>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</si>
  <si>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</si>
  <si>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</si>
  <si>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</si>
  <si>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</si>
  <si>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</si>
  <si>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</si>
  <si>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</si>
  <si>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</si>
  <si>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</si>
  <si>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</si>
  <si>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</si>
  <si>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</si>
  <si>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</si>
  <si>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</si>
  <si>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</si>
  <si>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</si>
  <si>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</si>
  <si>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</si>
  <si>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</si>
  <si>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</si>
  <si>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</si>
  <si>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</si>
  <si>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</si>
  <si>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</si>
  <si>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</si>
  <si>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</si>
  <si>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</si>
  <si>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</si>
  <si>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</si>
  <si>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</si>
  <si>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</si>
  <si>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</si>
  <si>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</si>
  <si>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</si>
  <si>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</si>
  <si>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</si>
  <si>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</si>
  <si>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</si>
  <si>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</si>
  <si>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</si>
  <si>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</si>
  <si>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</si>
  <si>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</si>
  <si>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</si>
  <si>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</si>
  <si>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</si>
  <si>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</si>
  <si>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</si>
  <si>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</si>
  <si>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</si>
  <si>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</si>
  <si>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</si>
  <si>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</si>
  <si>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</si>
  <si>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</si>
  <si>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</si>
  <si>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</si>
  <si>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</si>
  <si>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</si>
  <si>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</si>
  <si>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</si>
  <si>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</si>
  <si>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</si>
  <si>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</si>
  <si>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</si>
  <si>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</si>
  <si>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</si>
  <si>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</si>
  <si>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</si>
  <si>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</si>
  <si>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</si>
  <si>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</si>
  <si>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</si>
  <si>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</si>
  <si>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</si>
  <si>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</si>
  <si>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</si>
  <si>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</si>
  <si>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</si>
  <si>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</si>
  <si>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</si>
  <si>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</si>
  <si>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</si>
  <si>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</si>
  <si>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</si>
  <si>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</si>
  <si>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</si>
  <si>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</si>
  <si>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</si>
  <si>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</si>
  <si>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</si>
  <si>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</si>
  <si>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</si>
  <si>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</si>
  <si>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</si>
  <si>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</si>
  <si>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</si>
  <si>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</si>
  <si>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</si>
  <si>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</si>
  <si>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</si>
  <si>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</si>
  <si>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</si>
  <si>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</si>
  <si>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</si>
  <si>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</si>
  <si>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</si>
  <si>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</si>
  <si>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</si>
  <si>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</si>
  <si>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</si>
  <si>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</si>
  <si>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</si>
  <si>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</si>
  <si>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</si>
  <si>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</si>
  <si>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</si>
  <si>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</si>
  <si>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</si>
  <si>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</si>
  <si>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</si>
  <si>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</si>
  <si>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</si>
  <si>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</si>
  <si>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</si>
  <si>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</si>
  <si>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</si>
  <si>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</si>
  <si>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</si>
  <si>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</si>
  <si>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</si>
  <si>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</si>
  <si>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</si>
  <si>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</si>
  <si>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</si>
  <si>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</si>
  <si>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</si>
  <si>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</si>
  <si>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</si>
  <si>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</si>
  <si>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</si>
  <si>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</si>
  <si>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</si>
  <si>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</si>
  <si>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</si>
  <si>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</si>
  <si>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</si>
  <si>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</si>
  <si>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</si>
  <si>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</si>
  <si>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</si>
  <si>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</si>
  <si>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</si>
  <si>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</si>
  <si>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</si>
  <si>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</si>
  <si>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</si>
  <si>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</si>
  <si>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</si>
  <si>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</si>
  <si>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</si>
  <si>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</si>
  <si>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</si>
  <si>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</si>
  <si>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</si>
  <si>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</si>
  <si>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</si>
  <si>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</si>
  <si>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</si>
  <si>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</si>
  <si>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</si>
  <si>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</si>
  <si>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</si>
  <si>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</si>
  <si>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</si>
  <si>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</si>
  <si>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</si>
  <si>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</si>
  <si>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</si>
  <si>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</si>
  <si>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</si>
  <si>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</si>
  <si>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</si>
  <si>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</si>
  <si>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</si>
  <si>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</si>
  <si>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</si>
  <si>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</si>
  <si>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</si>
  <si>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</si>
  <si>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</si>
  <si>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</si>
  <si>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</si>
  <si>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</si>
  <si>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</si>
  <si>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</si>
  <si>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</si>
  <si>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</si>
  <si>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</si>
  <si>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</si>
  <si>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</si>
  <si>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</si>
  <si>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</si>
  <si>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</si>
  <si>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</si>
  <si>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</si>
  <si>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</si>
  <si>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</si>
  <si>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</si>
  <si>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</si>
  <si>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</si>
  <si>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</si>
  <si>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</si>
  <si>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</si>
  <si>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</si>
  <si>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</si>
  <si>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</si>
  <si>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</si>
  <si>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</si>
  <si>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</si>
  <si>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</si>
  <si>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</si>
  <si>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</si>
  <si>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</si>
  <si>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</si>
  <si>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</si>
  <si>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</si>
  <si>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</si>
  <si>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</si>
  <si>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</si>
  <si>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</si>
  <si>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</si>
  <si>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</si>
  <si>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</si>
  <si>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</si>
  <si>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</si>
  <si>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</si>
  <si>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</si>
  <si>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</si>
  <si>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</si>
  <si>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</si>
  <si>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</si>
  <si>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</si>
  <si>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</si>
  <si>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</si>
  <si>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</si>
  <si>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</si>
  <si>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</si>
  <si>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</si>
  <si>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</si>
  <si>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</si>
  <si>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</si>
  <si>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</si>
  <si>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</si>
  <si>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</si>
  <si>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</si>
  <si>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</si>
  <si>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</si>
  <si>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</si>
  <si>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</si>
  <si>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</si>
  <si>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</si>
  <si>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</si>
  <si>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</si>
  <si>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</si>
  <si>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</si>
  <si>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</si>
  <si>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</si>
  <si>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</si>
  <si>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</si>
  <si>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</si>
  <si>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</si>
  <si>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</si>
  <si>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</si>
  <si>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</si>
  <si>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</si>
  <si>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</si>
  <si>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</si>
  <si>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</si>
  <si>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</si>
  <si>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</si>
  <si>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</si>
  <si>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</si>
  <si>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</si>
  <si>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</si>
  <si>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</si>
  <si>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</si>
  <si>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</si>
  <si>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</si>
  <si>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</si>
  <si>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</si>
  <si>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</si>
  <si>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</si>
  <si>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</si>
  <si>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</si>
  <si>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</si>
  <si>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</si>
  <si>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</si>
  <si>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</si>
  <si>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</si>
  <si>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</si>
  <si>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</si>
  <si>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</si>
  <si>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</si>
  <si>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</si>
  <si>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</si>
  <si>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</si>
  <si>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</si>
  <si>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</si>
  <si>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</si>
  <si>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</si>
  <si>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</si>
  <si>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</si>
  <si>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</si>
  <si>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</si>
  <si>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</si>
  <si>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</si>
  <si>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</si>
  <si>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</si>
  <si>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</si>
  <si>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</si>
  <si>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</si>
  <si>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</si>
  <si>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</si>
  <si>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</si>
  <si>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</si>
  <si>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</si>
  <si>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</si>
  <si>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</si>
  <si>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</si>
  <si>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</si>
  <si>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</si>
  <si>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</si>
  <si>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</si>
  <si>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</si>
  <si>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</si>
  <si>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</si>
  <si>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</si>
  <si>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</si>
  <si>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</si>
  <si>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</si>
  <si>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</si>
  <si>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</si>
  <si>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</si>
  <si>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</si>
  <si>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</si>
  <si>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</si>
  <si>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</si>
  <si>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</si>
  <si>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</si>
  <si>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</si>
  <si>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</si>
  <si>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</si>
  <si>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</si>
  <si>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</si>
  <si>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</si>
  <si>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</si>
  <si>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</si>
  <si>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</si>
  <si>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</si>
  <si>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</si>
  <si>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</si>
  <si>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</si>
  <si>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</si>
  <si>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</si>
  <si>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</si>
  <si>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</si>
  <si>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</si>
  <si>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</si>
  <si>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</si>
  <si>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</si>
  <si>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</si>
  <si>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</si>
  <si>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</si>
  <si>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</si>
  <si>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</si>
  <si>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</si>
  <si>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</si>
  <si>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</si>
  <si>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</si>
  <si>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</si>
  <si>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</si>
  <si>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</si>
  <si>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</si>
  <si>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</si>
  <si>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</si>
  <si>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</si>
  <si>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</si>
  <si>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</si>
  <si>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</si>
  <si>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</si>
  <si>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</si>
  <si>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</si>
  <si>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</si>
  <si>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</si>
  <si>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</si>
  <si>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</si>
  <si>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</si>
  <si>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</si>
  <si>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</si>
  <si>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</si>
  <si>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</si>
  <si>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</si>
  <si>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</si>
  <si>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</si>
  <si>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</si>
  <si>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</si>
  <si>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</si>
  <si>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</si>
  <si>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</si>
  <si>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</si>
  <si>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</si>
  <si>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</si>
  <si>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</si>
  <si>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</si>
  <si>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</si>
  <si>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</si>
  <si>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</si>
  <si>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</si>
  <si>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</si>
  <si>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</si>
  <si>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</si>
  <si>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</si>
  <si>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</si>
  <si>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</si>
  <si>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</si>
  <si>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</si>
  <si>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</si>
  <si>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</si>
  <si>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</si>
  <si>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</si>
  <si>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</si>
  <si>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</si>
  <si>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</si>
  <si>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</si>
  <si>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</si>
  <si>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</si>
  <si>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</si>
  <si>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</si>
  <si>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</si>
  <si>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</si>
  <si>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</si>
  <si>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</si>
  <si>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</si>
  <si>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</si>
  <si>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</si>
  <si>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</si>
  <si>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</si>
  <si>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</si>
  <si>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</si>
  <si>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</si>
  <si>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</si>
  <si>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</si>
  <si>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</si>
  <si>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</si>
  <si>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</si>
  <si>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</si>
  <si>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</si>
  <si>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</si>
  <si>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</si>
  <si>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</si>
  <si>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</si>
  <si>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</si>
  <si>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</si>
  <si>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</si>
  <si>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</si>
  <si>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</si>
  <si>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</si>
  <si>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</si>
  <si>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</si>
  <si>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</si>
  <si>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</si>
  <si>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</si>
  <si>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</si>
  <si>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</si>
  <si>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</si>
  <si>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</si>
  <si>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</si>
  <si>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</si>
  <si>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</si>
  <si>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</si>
  <si>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</si>
  <si>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</si>
  <si>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</si>
  <si>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</si>
  <si>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</si>
  <si>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</si>
  <si>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</si>
  <si>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</si>
  <si>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</si>
  <si>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</si>
  <si>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</si>
  <si>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</si>
  <si>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</si>
  <si>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</si>
  <si>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</si>
  <si>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</si>
  <si>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</si>
  <si>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</si>
  <si>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</si>
  <si>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</si>
  <si>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</si>
  <si>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</si>
  <si>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</si>
  <si>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</si>
  <si>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</si>
  <si>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</si>
  <si>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</si>
  <si>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</si>
  <si>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</si>
  <si>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</si>
  <si>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</si>
  <si>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</si>
  <si>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</si>
  <si>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</si>
  <si>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</si>
  <si>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</si>
  <si>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</si>
  <si>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</si>
  <si>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</si>
  <si>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</si>
  <si>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</si>
  <si>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</si>
  <si>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</si>
  <si>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</si>
  <si>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</si>
  <si>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</si>
  <si>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</si>
  <si>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</si>
  <si>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</si>
  <si>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</si>
  <si>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</si>
  <si>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</si>
  <si>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</si>
  <si>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</si>
  <si>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</si>
  <si>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</si>
  <si>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</si>
  <si>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</si>
  <si>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</si>
  <si>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</si>
  <si>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</si>
  <si>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</si>
  <si>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</si>
  <si>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</si>
  <si>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</si>
  <si>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</si>
  <si>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</si>
  <si>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</si>
  <si>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</si>
  <si>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</si>
  <si>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</si>
  <si>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</si>
  <si>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</si>
  <si>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</si>
  <si>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</si>
  <si>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</si>
  <si>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</si>
  <si>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</si>
  <si>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</si>
  <si>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</si>
  <si>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</si>
  <si>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</si>
  <si>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</si>
  <si>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</si>
  <si>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</si>
  <si>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</si>
  <si>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</si>
  <si>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</si>
  <si>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</si>
  <si>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</si>
  <si>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</si>
  <si>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</si>
  <si>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</si>
  <si>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</si>
  <si>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</si>
  <si>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</si>
  <si>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</si>
  <si>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</si>
  <si>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</si>
  <si>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</si>
  <si>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</si>
  <si>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</si>
  <si>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</si>
  <si>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</si>
  <si>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</si>
  <si>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</si>
  <si>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</si>
  <si>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</si>
  <si>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</si>
  <si>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</si>
  <si>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</si>
  <si>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</si>
  <si>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</si>
  <si>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</si>
  <si>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</si>
  <si>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</si>
  <si>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</si>
  <si>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</si>
  <si>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</si>
  <si>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</si>
  <si>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</si>
  <si>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</si>
  <si>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</si>
  <si>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</si>
  <si>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</si>
  <si>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</si>
  <si>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</si>
  <si>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</si>
  <si>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</si>
  <si>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</si>
  <si>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</si>
  <si>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</si>
  <si>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</si>
  <si>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</si>
  <si>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</si>
  <si>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</si>
  <si>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</si>
  <si>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</si>
  <si>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</si>
  <si>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</si>
  <si>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</si>
  <si>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</si>
  <si>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</si>
  <si>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</si>
  <si>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</si>
  <si>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</si>
  <si>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</si>
  <si>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</si>
  <si>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</si>
  <si>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</si>
  <si>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</si>
  <si>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</si>
  <si>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</si>
  <si>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</si>
  <si>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</si>
  <si>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</si>
  <si>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</si>
  <si>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</si>
  <si>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</si>
  <si>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</si>
  <si>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</si>
  <si>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</si>
  <si>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</si>
  <si>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</si>
  <si>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</si>
  <si>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</si>
  <si>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</si>
  <si>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</si>
  <si>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</si>
  <si>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</si>
  <si>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</si>
  <si>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</si>
  <si>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</si>
  <si>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</si>
  <si>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</si>
  <si>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</si>
  <si>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</si>
  <si>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</si>
  <si>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</si>
  <si>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</si>
  <si>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</si>
  <si>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</si>
  <si>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</si>
  <si>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</si>
  <si>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</si>
  <si>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</si>
  <si>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</si>
  <si>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</si>
  <si>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</si>
  <si>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</si>
  <si>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</si>
  <si>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</si>
  <si>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</si>
  <si>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</si>
  <si>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</si>
  <si>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</si>
  <si>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</si>
  <si>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</si>
  <si>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</si>
  <si>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</si>
  <si>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</si>
  <si>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</si>
  <si>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</si>
  <si>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</si>
  <si>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</si>
  <si>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</si>
  <si>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</si>
  <si>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</si>
  <si>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</si>
  <si>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</si>
  <si>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</si>
  <si>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</si>
  <si>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</si>
  <si>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</si>
  <si>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</si>
  <si>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</si>
  <si>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</si>
  <si>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</si>
  <si>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</si>
  <si>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</si>
  <si>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</si>
  <si>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</si>
  <si>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</si>
  <si>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</si>
  <si>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</si>
  <si>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</si>
  <si>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</si>
  <si>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</si>
  <si>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</si>
  <si>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</si>
  <si>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</si>
  <si>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</si>
  <si>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</si>
  <si>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</si>
  <si>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</si>
  <si>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</si>
  <si>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</si>
  <si>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</si>
  <si>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</si>
  <si>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</si>
  <si>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</si>
  <si>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</si>
  <si>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</si>
  <si>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</si>
  <si>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</si>
  <si>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</si>
  <si>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</si>
  <si>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</si>
  <si>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</si>
  <si>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</si>
  <si>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</si>
  <si>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</si>
  <si>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</si>
  <si>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</si>
  <si>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</si>
  <si>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</si>
  <si>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</si>
  <si>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</si>
  <si>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</si>
  <si>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</si>
  <si>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</si>
  <si>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</si>
  <si>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</si>
  <si>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</si>
  <si>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</si>
  <si>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</si>
  <si>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</si>
  <si>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</si>
  <si>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</si>
  <si>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</si>
  <si>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</si>
  <si>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</si>
  <si>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</si>
  <si>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</si>
  <si>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</si>
  <si>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</si>
  <si>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</si>
  <si>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</si>
  <si>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</si>
  <si>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</si>
  <si>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</si>
  <si>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</si>
  <si>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</si>
  <si>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</si>
  <si>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</si>
  <si>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</si>
  <si>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</si>
  <si>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</si>
  <si>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</si>
  <si>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</si>
  <si>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</si>
  <si>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</si>
  <si>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</si>
  <si>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</si>
  <si>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</si>
  <si>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</si>
  <si>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</si>
  <si>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</si>
  <si>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</si>
  <si>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</si>
  <si>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</si>
  <si>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</si>
  <si>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</si>
  <si>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</si>
  <si>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</si>
  <si>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</si>
  <si>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</si>
  <si>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</si>
  <si>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</si>
  <si>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</si>
  <si>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</si>
  <si>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</si>
  <si>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</si>
  <si>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</si>
  <si>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</si>
  <si>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</si>
  <si>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</si>
  <si>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</si>
  <si>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</si>
  <si>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</si>
  <si>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</si>
  <si>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</si>
  <si>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</si>
  <si>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</si>
  <si>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</si>
  <si>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</si>
  <si>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</si>
  <si>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</si>
  <si>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</si>
  <si>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</si>
  <si>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</si>
  <si>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</si>
  <si>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</si>
  <si>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</si>
  <si>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</si>
  <si>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</si>
  <si>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</si>
  <si>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</si>
  <si>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</si>
  <si>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</si>
  <si>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</si>
  <si>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</si>
  <si>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</si>
  <si>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</si>
  <si>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</si>
  <si>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</si>
  <si>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</si>
  <si>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</si>
  <si>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</si>
  <si>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</si>
  <si>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</si>
  <si>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</si>
  <si>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</si>
  <si>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</si>
  <si>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</si>
  <si>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</si>
  <si>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</si>
  <si>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</si>
  <si>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</si>
  <si>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</si>
  <si>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</si>
  <si>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</si>
  <si>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</si>
  <si>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</si>
  <si>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</si>
  <si>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</si>
  <si>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</si>
  <si>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</si>
  <si>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</si>
  <si>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</si>
  <si>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</si>
  <si>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</si>
  <si>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</si>
  <si>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</si>
  <si>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</si>
  <si>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</si>
  <si>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</si>
  <si>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</si>
  <si>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</si>
  <si>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</si>
  <si>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</si>
  <si>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</si>
  <si>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</si>
  <si>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</si>
  <si>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</si>
  <si>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</si>
  <si>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</si>
  <si>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</si>
  <si>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</si>
  <si>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</si>
  <si>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</si>
  <si>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</si>
  <si>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</si>
  <si>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</si>
  <si>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</si>
  <si>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</si>
  <si>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</si>
  <si>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</si>
  <si>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</si>
  <si>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</si>
  <si>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</si>
  <si>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</si>
  <si>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</si>
  <si>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</si>
  <si>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</si>
  <si>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</si>
  <si>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</si>
  <si>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</si>
  <si>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</si>
  <si>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</si>
  <si>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</si>
  <si>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</si>
  <si>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</si>
  <si>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</si>
  <si>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</si>
  <si>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</si>
  <si>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</si>
  <si>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</si>
  <si>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</si>
  <si>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</si>
  <si>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</si>
  <si>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</si>
  <si>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</si>
  <si>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</si>
  <si>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</si>
  <si>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</si>
  <si>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</si>
  <si>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</si>
  <si>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</si>
  <si>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</si>
  <si>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</si>
  <si>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</si>
  <si>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</si>
  <si>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</si>
  <si>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</si>
  <si>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</si>
  <si>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</si>
  <si>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</si>
  <si>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</si>
  <si>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</si>
  <si>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</si>
  <si>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</si>
  <si>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</si>
  <si>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</si>
  <si>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</si>
  <si>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</si>
  <si>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</si>
  <si>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</si>
  <si>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</si>
  <si>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</si>
  <si>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</si>
  <si>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</si>
  <si>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</si>
  <si>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</si>
  <si>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</si>
  <si>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</si>
  <si>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</si>
  <si>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</si>
  <si>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</si>
  <si>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</si>
  <si>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</si>
  <si>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</si>
  <si>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</si>
  <si>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</si>
  <si>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</si>
  <si>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</si>
  <si>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</si>
  <si>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</si>
  <si>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</si>
  <si>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</si>
  <si>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</si>
  <si>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</si>
  <si>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</si>
  <si>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</si>
  <si>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</si>
  <si>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</si>
  <si>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</si>
  <si>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</si>
  <si>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</si>
  <si>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</si>
  <si>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</si>
  <si>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</si>
  <si>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</si>
  <si>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</si>
  <si>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</si>
  <si>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</si>
  <si>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</si>
  <si>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</si>
  <si>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</si>
  <si>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</si>
  <si>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</si>
  <si>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</si>
  <si>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</si>
  <si>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</si>
  <si>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</si>
  <si>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</si>
  <si>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</si>
  <si>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</si>
  <si>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</si>
  <si>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</si>
  <si>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</si>
  <si>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</si>
  <si>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</si>
  <si>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</si>
  <si>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</si>
  <si>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</si>
  <si>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</si>
  <si>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</si>
  <si>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</si>
  <si>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</si>
  <si>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</si>
  <si>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</si>
  <si>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</si>
  <si>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</si>
  <si>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</si>
  <si>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</si>
  <si>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</si>
  <si>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</si>
  <si>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</si>
  <si>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</si>
  <si>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</si>
  <si>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</si>
  <si>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</si>
  <si>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</si>
  <si>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</si>
  <si>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</si>
  <si>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</si>
  <si>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</si>
  <si>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</si>
  <si>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</si>
  <si>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</si>
  <si>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</si>
  <si>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</si>
  <si>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</si>
  <si>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</si>
  <si>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</si>
  <si>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</si>
  <si>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</si>
  <si>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</si>
  <si>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</si>
  <si>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</si>
  <si>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</si>
  <si>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</si>
  <si>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</si>
  <si>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</si>
  <si>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</si>
  <si>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</si>
  <si>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</si>
  <si>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</si>
  <si>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</si>
  <si>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</si>
  <si>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</si>
  <si>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</si>
  <si>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</si>
  <si>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</si>
  <si>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</si>
  <si>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</si>
  <si>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</si>
  <si>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</si>
  <si>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</si>
  <si>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</si>
  <si>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</si>
  <si>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</si>
  <si>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</si>
  <si>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</si>
  <si>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</si>
  <si>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</si>
  <si>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</si>
  <si>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</si>
  <si>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</si>
  <si>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</si>
  <si>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</si>
  <si>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</si>
  <si>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</si>
  <si>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</si>
  <si>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</si>
  <si>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</si>
  <si>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</si>
  <si>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</si>
  <si>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</si>
  <si>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</si>
  <si>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</si>
  <si>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</si>
  <si>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</si>
  <si>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</si>
  <si>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</si>
  <si>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</si>
  <si>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</si>
  <si>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</si>
  <si>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</si>
  <si>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</si>
  <si>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</si>
  <si>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</si>
  <si>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</si>
  <si>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</si>
  <si>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</si>
  <si>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</si>
  <si>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</si>
  <si>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</si>
  <si>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</si>
  <si>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</si>
  <si>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</si>
  <si>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</si>
  <si>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</si>
  <si>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</si>
  <si>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</si>
  <si>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</si>
  <si>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</si>
  <si>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</si>
  <si>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</si>
  <si>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</si>
  <si>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</si>
  <si>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</si>
  <si>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</si>
  <si>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</si>
  <si>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</si>
  <si>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</si>
  <si>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</si>
  <si>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</si>
  <si>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</si>
  <si>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</si>
  <si>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</si>
  <si>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</si>
  <si>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</si>
  <si>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</si>
  <si>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</si>
  <si>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</si>
  <si>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</si>
  <si>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</si>
  <si>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</si>
  <si>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</si>
  <si>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</si>
  <si>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</si>
  <si>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</si>
  <si>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</si>
  <si>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</si>
  <si>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</si>
  <si>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</si>
  <si>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</si>
  <si>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</si>
  <si>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</si>
  <si>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</si>
  <si>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</si>
  <si>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</si>
  <si>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</si>
  <si>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</si>
  <si>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</si>
  <si>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</si>
  <si>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</si>
  <si>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</si>
  <si>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</si>
  <si>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</si>
  <si>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</si>
  <si>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</si>
  <si>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</si>
  <si>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</si>
  <si>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</si>
  <si>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</si>
  <si>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</si>
  <si>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</si>
  <si>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</si>
  <si>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</si>
  <si>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</si>
  <si>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</si>
  <si>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</si>
  <si>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</si>
  <si>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</si>
  <si>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</si>
  <si>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</si>
  <si>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</si>
  <si>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</si>
  <si>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</si>
  <si>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</si>
  <si>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</si>
  <si>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</si>
  <si>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</si>
  <si>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</si>
  <si>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</si>
  <si>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</si>
  <si>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</si>
  <si>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</si>
  <si>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</si>
  <si>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</si>
  <si>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</si>
  <si>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</si>
  <si>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</si>
  <si>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</si>
  <si>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</si>
  <si>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</si>
  <si>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</si>
  <si>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</si>
  <si>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</si>
  <si>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</si>
  <si>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</si>
  <si>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</si>
  <si>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</si>
  <si>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</si>
  <si>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</si>
  <si>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</si>
  <si>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</si>
  <si>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</si>
  <si>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</si>
  <si>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</si>
  <si>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</si>
  <si>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</si>
  <si>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</si>
  <si>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</si>
  <si>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</si>
  <si>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</si>
  <si>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</si>
  <si>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</si>
  <si>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</si>
  <si>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</si>
  <si>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</si>
  <si>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</si>
  <si>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</si>
  <si>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</si>
  <si>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</si>
  <si>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</si>
  <si>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</si>
  <si>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</si>
  <si>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</si>
  <si>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</si>
  <si>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</si>
  <si>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</si>
  <si>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</si>
  <si>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</si>
  <si>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</si>
  <si>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</si>
  <si>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</si>
  <si>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</si>
  <si>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</si>
  <si>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</si>
  <si>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</si>
  <si>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</si>
  <si>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</si>
  <si>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</si>
  <si>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</si>
  <si>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</si>
  <si>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</si>
  <si>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</si>
  <si>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</si>
  <si>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</si>
  <si>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</si>
  <si>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</si>
  <si>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</si>
  <si>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</si>
  <si>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</si>
  <si>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</si>
  <si>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</si>
  <si>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</si>
  <si>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</si>
  <si>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</si>
  <si>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</si>
  <si>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</si>
  <si>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</si>
  <si>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</si>
  <si>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</si>
  <si>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</si>
  <si>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</si>
  <si>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</si>
  <si>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</si>
  <si>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</si>
  <si>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</si>
  <si>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</si>
  <si>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</si>
  <si>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</si>
  <si>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</si>
  <si>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</si>
  <si>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</si>
  <si>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</si>
  <si>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</si>
  <si>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</si>
  <si>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</si>
  <si>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</si>
  <si>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</si>
  <si>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</si>
  <si>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</si>
  <si>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</si>
  <si>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</si>
  <si>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</si>
  <si>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</si>
  <si>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</si>
  <si>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</si>
  <si>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</si>
  <si>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</si>
  <si>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</si>
  <si>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</si>
  <si>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</si>
  <si>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</si>
  <si>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</si>
  <si>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</si>
  <si>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</si>
  <si>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</si>
  <si>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</si>
  <si>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</si>
  <si>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</si>
  <si>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</si>
  <si>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</si>
  <si>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</si>
  <si>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</si>
  <si>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</si>
  <si>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</si>
  <si>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</si>
  <si>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</si>
  <si>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</si>
  <si>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</si>
  <si>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</si>
  <si>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</si>
  <si>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</si>
  <si>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</si>
  <si>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</si>
  <si>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</si>
  <si>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</si>
  <si>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</si>
  <si>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</si>
  <si>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</si>
  <si>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</si>
  <si>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</si>
  <si>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</si>
  <si>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</si>
  <si>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</si>
  <si>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</si>
  <si>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</si>
  <si>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</si>
  <si>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</si>
  <si>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</si>
  <si>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</si>
  <si>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</si>
  <si>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</si>
  <si>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</si>
  <si>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</si>
  <si>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</si>
  <si>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</si>
  <si>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</si>
  <si>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</si>
  <si>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</si>
  <si>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</si>
  <si>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</si>
  <si>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</si>
  <si>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</si>
  <si>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</si>
  <si>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</si>
  <si>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</si>
  <si>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</si>
  <si>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</si>
  <si>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</si>
  <si>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</si>
  <si>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</si>
  <si>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</si>
  <si>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</si>
  <si>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</si>
  <si>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</si>
  <si>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</si>
  <si>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</si>
  <si>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</si>
  <si>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</si>
  <si>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</si>
  <si>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</si>
  <si>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</si>
  <si>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</si>
  <si>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</si>
  <si>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</si>
  <si>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</si>
  <si>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</si>
  <si>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</si>
  <si>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</si>
  <si>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</si>
  <si>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</si>
  <si>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</si>
  <si>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</si>
  <si>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</si>
  <si>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</si>
  <si>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</si>
  <si>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</si>
  <si>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</si>
  <si>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</si>
  <si>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</si>
  <si>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</si>
  <si>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</si>
  <si>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</si>
  <si>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</si>
  <si>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</si>
  <si>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</si>
  <si>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</si>
  <si>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</si>
  <si>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</si>
  <si>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</si>
  <si>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</si>
  <si>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</si>
  <si>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</si>
  <si>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</si>
  <si>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</si>
  <si>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</si>
  <si>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</si>
  <si>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</si>
  <si>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</si>
  <si>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</si>
  <si>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</si>
  <si>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</si>
  <si>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</si>
  <si>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</si>
  <si>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</si>
  <si>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</si>
  <si>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</si>
  <si>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</si>
  <si>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</si>
  <si>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</si>
  <si>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</si>
  <si>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</si>
  <si>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</si>
  <si>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</si>
  <si>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</si>
  <si>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</si>
  <si>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</si>
  <si>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</si>
  <si>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</si>
  <si>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</si>
  <si>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</si>
  <si>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</si>
  <si>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</si>
  <si>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</si>
  <si>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</si>
  <si>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</si>
  <si>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</si>
  <si>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</si>
  <si>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</si>
  <si>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</si>
  <si>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</si>
  <si>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</si>
  <si>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</si>
  <si>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</si>
  <si>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</si>
  <si>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</si>
  <si>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</si>
  <si>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</si>
  <si>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</si>
  <si>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</si>
  <si>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</si>
  <si>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</si>
  <si>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</si>
  <si>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</si>
  <si>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</si>
  <si>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</si>
  <si>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</si>
  <si>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</si>
  <si>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</si>
  <si>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</si>
  <si>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</si>
  <si>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</si>
  <si>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</si>
  <si>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</si>
  <si>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</si>
  <si>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</si>
  <si>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</si>
  <si>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</si>
  <si>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</si>
  <si>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</si>
  <si>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</si>
  <si>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</si>
  <si>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</si>
  <si>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</si>
  <si>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</si>
  <si>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</si>
  <si>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</si>
  <si>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</si>
  <si>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</si>
  <si>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</si>
  <si>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</si>
  <si>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</si>
  <si>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</si>
  <si>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</si>
  <si>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</si>
  <si>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</si>
  <si>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</si>
  <si>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</si>
  <si>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</si>
  <si>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</si>
  <si>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</si>
  <si>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</si>
  <si>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</si>
  <si>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</si>
  <si>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</si>
  <si>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</si>
  <si>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</si>
  <si>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</si>
  <si>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</si>
  <si>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</si>
  <si>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</si>
  <si>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</si>
  <si>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</si>
  <si>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</si>
  <si>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</si>
  <si>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</si>
  <si>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</si>
  <si>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</si>
  <si>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</si>
  <si>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</si>
  <si>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</si>
  <si>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</si>
  <si>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</si>
  <si>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</si>
  <si>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</si>
  <si>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</si>
  <si>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</si>
  <si>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</si>
  <si>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</si>
  <si>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</si>
  <si>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</si>
  <si>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</si>
  <si>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</si>
  <si>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</si>
  <si>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</si>
  <si>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</si>
  <si>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</si>
  <si>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</si>
  <si>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</si>
  <si>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</si>
  <si>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</si>
  <si>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</si>
  <si>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</si>
  <si>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</si>
  <si>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</si>
  <si>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</si>
  <si>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</si>
  <si>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</si>
  <si>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</si>
  <si>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</si>
  <si>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</si>
  <si>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</si>
  <si>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</si>
  <si>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</si>
  <si>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</si>
  <si>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</si>
  <si>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</si>
  <si>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</si>
  <si>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</si>
  <si>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</si>
  <si>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</si>
  <si>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</si>
  <si>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</si>
  <si>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</si>
  <si>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</si>
  <si>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</si>
  <si>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</si>
  <si>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</si>
  <si>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</si>
  <si>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</si>
  <si>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</si>
  <si>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</si>
  <si>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</si>
  <si>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</si>
  <si>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</si>
  <si>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</si>
  <si>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</si>
  <si>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</si>
  <si>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</si>
  <si>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</si>
  <si>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</si>
  <si>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</si>
  <si>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</si>
  <si>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</si>
  <si>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</si>
  <si>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</si>
  <si>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</si>
  <si>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</si>
  <si>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</si>
  <si>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</si>
  <si>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</si>
  <si>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</si>
  <si>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</si>
  <si>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</si>
  <si>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</si>
  <si>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</si>
  <si>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</si>
  <si>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</si>
  <si>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</si>
  <si>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</si>
  <si>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</si>
  <si>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</si>
  <si>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</si>
  <si>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</si>
  <si>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</si>
  <si>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</si>
  <si>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</si>
  <si>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</si>
  <si>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</si>
  <si>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</si>
  <si>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</si>
  <si>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</si>
  <si>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</si>
  <si>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</si>
  <si>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</si>
  <si>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</si>
  <si>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</si>
  <si>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</si>
  <si>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</si>
  <si>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</si>
  <si>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</si>
  <si>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</si>
  <si>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</si>
  <si>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</si>
  <si>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</si>
  <si>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</si>
  <si>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</si>
  <si>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</si>
  <si>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</si>
  <si>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</si>
  <si>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</si>
  <si>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</si>
  <si>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</si>
  <si>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</si>
  <si>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</si>
  <si>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</si>
  <si>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</si>
  <si>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</si>
  <si>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</si>
  <si>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</si>
  <si>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</si>
  <si>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</si>
  <si>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</si>
  <si>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</si>
  <si>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</si>
  <si>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</si>
  <si>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</si>
  <si>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</si>
  <si>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</si>
  <si>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</si>
  <si>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</si>
  <si>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</si>
  <si>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</si>
  <si>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</si>
  <si>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</si>
  <si>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</si>
  <si>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</si>
  <si>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</si>
  <si>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</si>
  <si>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</si>
  <si>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</si>
  <si>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</si>
  <si>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</si>
  <si>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</si>
  <si>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</si>
  <si>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</si>
  <si>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</si>
  <si>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</si>
  <si>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</si>
  <si>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</si>
  <si>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</si>
  <si>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</si>
  <si>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</si>
  <si>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</si>
  <si>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</si>
  <si>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</si>
  <si>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</si>
  <si>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</si>
  <si>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</si>
  <si>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</si>
  <si>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</si>
  <si>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</si>
  <si>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</si>
  <si>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</si>
  <si>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</si>
  <si>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</si>
  <si>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</si>
  <si>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</si>
  <si>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</si>
  <si>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</si>
  <si>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</si>
  <si>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</si>
  <si>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</si>
  <si>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</si>
  <si>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</si>
  <si>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</si>
  <si>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</si>
  <si>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</si>
  <si>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</si>
  <si>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</si>
  <si>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</si>
  <si>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</si>
  <si>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</si>
  <si>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</si>
  <si>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</si>
  <si>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</si>
  <si>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</si>
  <si>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</si>
  <si>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</si>
  <si>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</si>
  <si>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</si>
  <si>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</si>
  <si>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</si>
  <si>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</si>
  <si>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</si>
  <si>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</si>
  <si>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</si>
  <si>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</si>
  <si>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</si>
  <si>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</si>
  <si>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</si>
  <si>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</si>
  <si>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</si>
  <si>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</si>
  <si>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</si>
  <si>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</si>
  <si>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</si>
  <si>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</si>
  <si>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</si>
  <si>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</si>
  <si>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</si>
  <si>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</si>
  <si>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</si>
  <si>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</si>
  <si>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</si>
  <si>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</si>
  <si>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</si>
  <si>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</si>
  <si>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</si>
  <si>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</si>
  <si>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</si>
  <si>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</si>
  <si>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</si>
  <si>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</si>
  <si>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</si>
  <si>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</si>
  <si>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</si>
  <si>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</si>
  <si>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</si>
  <si>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</si>
  <si>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</si>
  <si>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</si>
  <si>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</si>
  <si>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</si>
  <si>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</si>
  <si>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</si>
  <si>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</si>
  <si>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</si>
  <si>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</si>
  <si>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</si>
  <si>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</si>
  <si>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</si>
  <si>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</si>
  <si>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</si>
  <si>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</si>
  <si>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</si>
  <si>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</si>
  <si>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</si>
  <si>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</si>
  <si>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</si>
  <si>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</si>
  <si>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</si>
  <si>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</si>
  <si>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</si>
  <si>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</si>
  <si>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</si>
  <si>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</si>
  <si>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</si>
  <si>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</si>
  <si>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</si>
  <si>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</si>
  <si>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</si>
  <si>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</si>
  <si>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</si>
  <si>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</si>
  <si>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</si>
  <si>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</si>
  <si>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</si>
  <si>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</si>
  <si>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</si>
  <si>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</si>
  <si>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</si>
  <si>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</si>
  <si>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</si>
  <si>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</si>
  <si>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</si>
  <si>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</si>
  <si>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</si>
  <si>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</si>
  <si>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</si>
  <si>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</si>
  <si>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</si>
  <si>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</si>
  <si>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</si>
  <si>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</si>
  <si>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</si>
  <si>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</si>
  <si>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</si>
  <si>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</si>
  <si>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</si>
  <si>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</si>
  <si>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</si>
  <si>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</si>
  <si>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</si>
  <si>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</si>
  <si>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</si>
  <si>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</si>
  <si>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</si>
  <si>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</si>
  <si>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</si>
  <si>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</si>
  <si>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</si>
  <si>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</si>
  <si>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</si>
  <si>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</si>
  <si>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</si>
  <si>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</si>
  <si>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</si>
  <si>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</si>
  <si>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</si>
  <si>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</si>
  <si>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</si>
  <si>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</si>
  <si>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</si>
  <si>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</si>
  <si>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</si>
  <si>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</si>
  <si>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</si>
  <si>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</si>
  <si>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</si>
  <si>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</si>
  <si>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</si>
  <si>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</si>
  <si>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</si>
  <si>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</si>
  <si>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</si>
  <si>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</si>
  <si>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</si>
  <si>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</si>
  <si>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</si>
  <si>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</si>
  <si>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</si>
  <si>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</si>
  <si>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</si>
  <si>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</si>
  <si>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</si>
  <si>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</si>
  <si>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</si>
  <si>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</si>
  <si>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</si>
  <si>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</si>
  <si>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</si>
  <si>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</si>
  <si>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</si>
  <si>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</si>
  <si>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</si>
  <si>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</si>
  <si>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</si>
  <si>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</si>
  <si>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</si>
  <si>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</si>
  <si>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</si>
  <si>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</si>
  <si>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</si>
  <si>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</si>
  <si>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</si>
  <si>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</si>
  <si>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</si>
  <si>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</si>
  <si>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</si>
  <si>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</si>
  <si>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</si>
  <si>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</si>
  <si>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</si>
  <si>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</si>
  <si>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</si>
  <si>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</si>
  <si>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</si>
  <si>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</si>
  <si>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</si>
  <si>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</si>
  <si>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</si>
  <si>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</si>
  <si>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</si>
  <si>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</si>
  <si>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</si>
  <si>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</si>
  <si>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</si>
  <si>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</si>
  <si>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</si>
  <si>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</si>
  <si>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</si>
  <si>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</si>
  <si>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</si>
  <si>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</si>
  <si>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</si>
  <si>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</si>
  <si>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</si>
  <si>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</si>
  <si>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</si>
  <si>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</si>
  <si>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</si>
  <si>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</si>
  <si>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</si>
  <si>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</si>
  <si>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</si>
  <si>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</si>
  <si>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</si>
  <si>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</si>
  <si>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</si>
  <si>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</si>
  <si>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</si>
  <si>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</si>
  <si>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</si>
  <si>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</si>
  <si>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</si>
  <si>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</si>
  <si>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</si>
  <si>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</si>
  <si>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</si>
  <si>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</si>
  <si>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</si>
  <si>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</si>
  <si>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</si>
  <si>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</si>
  <si>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</si>
  <si>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</si>
  <si>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</si>
  <si>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</si>
  <si>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</si>
  <si>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</si>
  <si>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</si>
  <si>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</si>
  <si>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</si>
  <si>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</si>
  <si>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</si>
  <si>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</si>
  <si>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</si>
  <si>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</si>
  <si>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</si>
  <si>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</si>
  <si>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</si>
  <si>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</si>
  <si>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</si>
  <si>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</si>
  <si>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</si>
  <si>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</si>
  <si>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</si>
  <si>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</si>
  <si>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</si>
  <si>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</si>
  <si>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</si>
  <si>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</si>
  <si>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</si>
  <si>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</si>
  <si>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</si>
  <si>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</si>
  <si>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</si>
  <si>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</si>
  <si>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</si>
  <si>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</si>
  <si>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</si>
  <si>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</si>
  <si>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</si>
  <si>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</si>
  <si>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</si>
  <si>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</si>
  <si>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</si>
  <si>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</si>
  <si>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</si>
  <si>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</si>
  <si>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</si>
  <si>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</si>
  <si>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</si>
  <si>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</si>
  <si>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</si>
  <si>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</si>
  <si>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</si>
  <si>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</si>
  <si>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</si>
  <si>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</si>
  <si>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</si>
  <si>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</si>
  <si>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</si>
  <si>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</si>
  <si>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</si>
  <si>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</si>
  <si>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</si>
  <si>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</si>
  <si>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</si>
  <si>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</si>
  <si>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</si>
  <si>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</si>
  <si>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</si>
  <si>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</si>
  <si>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</si>
  <si>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</si>
  <si>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</si>
  <si>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</si>
  <si>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</si>
  <si>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</si>
  <si>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</si>
  <si>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</si>
  <si>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</si>
  <si>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</si>
  <si>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</si>
  <si>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</si>
  <si>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</si>
  <si>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</si>
  <si>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</si>
  <si>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</si>
  <si>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</si>
  <si>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</si>
  <si>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</si>
  <si>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</si>
  <si>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</si>
  <si>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</si>
  <si>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</si>
  <si>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</si>
  <si>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</si>
  <si>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</si>
  <si>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</si>
  <si>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</si>
  <si>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</si>
  <si>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</si>
  <si>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</si>
  <si>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</si>
  <si>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</si>
  <si>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</si>
  <si>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</si>
  <si>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</si>
  <si>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</si>
  <si>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</si>
  <si>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</si>
  <si>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</si>
  <si>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</si>
  <si>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</si>
  <si>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</si>
  <si>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</si>
  <si>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</si>
  <si>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</si>
  <si>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</si>
  <si>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</si>
  <si>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</si>
  <si>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</si>
  <si>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</si>
  <si>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</si>
  <si>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</si>
  <si>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</si>
  <si>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</si>
  <si>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</si>
  <si>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</si>
  <si>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</si>
  <si>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</si>
  <si>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</si>
  <si>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</si>
  <si>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</si>
  <si>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</si>
  <si>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</si>
  <si>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</si>
  <si>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</si>
  <si>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</si>
  <si>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</si>
  <si>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</si>
  <si>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</si>
  <si>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</si>
  <si>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</si>
  <si>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</si>
  <si>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</si>
  <si>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</si>
  <si>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</si>
  <si>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</si>
  <si>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</si>
  <si>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</si>
  <si>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</si>
  <si>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</si>
  <si>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</si>
  <si>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</si>
  <si>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</si>
  <si>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</si>
  <si>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</si>
  <si>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</si>
  <si>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</si>
  <si>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</si>
  <si>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</si>
  <si>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</si>
  <si>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</si>
  <si>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</si>
  <si>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</si>
  <si>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</si>
  <si>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</si>
  <si>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</si>
  <si>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</si>
  <si>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</si>
  <si>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</si>
  <si>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</si>
  <si>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</si>
  <si>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</si>
  <si>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</si>
  <si>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</si>
  <si>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</si>
  <si>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</si>
  <si>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</si>
  <si>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</si>
  <si>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</si>
  <si>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</si>
  <si>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</si>
  <si>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</si>
  <si>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</si>
  <si>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</si>
  <si>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</si>
  <si>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</si>
  <si>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</si>
  <si>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</si>
  <si>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</si>
  <si>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</si>
  <si>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</si>
  <si>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</si>
  <si>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</si>
  <si>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</si>
  <si>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</si>
  <si>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</si>
  <si>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</si>
  <si>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</si>
  <si>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</si>
  <si>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</si>
  <si>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</si>
  <si>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</si>
  <si>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</si>
  <si>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</si>
  <si>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</si>
  <si>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</si>
  <si>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</si>
  <si>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</si>
  <si>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</si>
  <si>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</si>
  <si>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</si>
  <si>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</si>
  <si>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</si>
  <si>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</si>
  <si>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</si>
  <si>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</si>
  <si>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</si>
  <si>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</si>
  <si>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</si>
  <si>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</si>
  <si>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</si>
  <si>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</si>
  <si>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</si>
  <si>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</si>
  <si>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</si>
  <si>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</si>
  <si>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</si>
  <si>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</si>
  <si>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</si>
  <si>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</si>
  <si>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</si>
  <si>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</si>
  <si>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</si>
  <si>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</si>
  <si>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</si>
  <si>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</si>
  <si>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</si>
  <si>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</si>
  <si>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</si>
  <si>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</si>
  <si>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</si>
  <si>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</si>
  <si>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</si>
  <si>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</si>
  <si>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</si>
  <si>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</si>
  <si>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</si>
  <si>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</si>
  <si>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</si>
  <si>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</si>
  <si>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</si>
  <si>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</si>
  <si>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</si>
  <si>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</si>
  <si>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</si>
  <si>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</si>
  <si>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</si>
  <si>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</si>
  <si>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</si>
  <si>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</si>
  <si>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</si>
  <si>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</si>
  <si>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</si>
  <si>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</si>
  <si>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</si>
  <si>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</si>
  <si>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</si>
  <si>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</si>
  <si>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</si>
  <si>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</si>
  <si>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</si>
  <si>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</si>
  <si>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</si>
  <si>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</si>
  <si>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</si>
  <si>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</si>
  <si>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</si>
  <si>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</si>
  <si>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</si>
  <si>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</si>
  <si>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</si>
  <si>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</si>
  <si>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</si>
  <si>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</si>
  <si>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</si>
  <si>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</si>
  <si>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</si>
  <si>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</si>
  <si>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</si>
  <si>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</si>
  <si>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</si>
  <si>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</si>
  <si>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</si>
  <si>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</si>
  <si>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</si>
  <si>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</si>
  <si>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</si>
  <si>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</si>
  <si>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</si>
  <si>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</si>
  <si>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</si>
  <si>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</si>
  <si>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</si>
  <si>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</si>
  <si>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</si>
  <si>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</si>
  <si>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</si>
  <si>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</si>
  <si>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</si>
  <si>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</si>
  <si>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</si>
  <si>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</si>
  <si>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</si>
  <si>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</si>
  <si>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</si>
  <si>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</si>
  <si>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</si>
  <si>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</si>
  <si>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</si>
  <si>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</si>
  <si>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</si>
  <si>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</si>
  <si>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</si>
  <si>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</si>
  <si>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</si>
  <si>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</si>
  <si>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</si>
  <si>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</si>
  <si>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</si>
  <si>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</si>
  <si>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</si>
  <si>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</si>
  <si>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</si>
  <si>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</si>
  <si>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</si>
  <si>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</si>
  <si>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</si>
  <si>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</si>
  <si>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</si>
  <si>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</si>
  <si>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</si>
  <si>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</si>
  <si>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</si>
  <si>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</si>
  <si>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</si>
  <si>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</si>
  <si>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</si>
  <si>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</si>
  <si>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</si>
  <si>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</si>
  <si>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</si>
  <si>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</si>
  <si>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</si>
  <si>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</si>
  <si>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</si>
  <si>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</si>
  <si>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</si>
  <si>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</si>
  <si>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</si>
  <si>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</si>
  <si>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</si>
  <si>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</si>
  <si>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</si>
  <si>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</si>
  <si>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</si>
  <si>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</si>
  <si>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</si>
  <si>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</si>
  <si>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</si>
  <si>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</si>
  <si>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</si>
  <si>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</si>
  <si>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</si>
  <si>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</si>
  <si>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</si>
  <si>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</si>
  <si>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</si>
  <si>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</si>
  <si>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</si>
  <si>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</si>
  <si>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</si>
  <si>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</si>
  <si>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</si>
  <si>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</si>
  <si>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</si>
  <si>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</si>
  <si>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</si>
  <si>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</si>
  <si>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</si>
  <si>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</si>
  <si>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</si>
  <si>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</si>
  <si>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</si>
  <si>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</si>
  <si>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</si>
  <si>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</si>
  <si>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</si>
  <si>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</si>
  <si>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</si>
  <si>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</si>
  <si>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</si>
  <si>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</si>
  <si>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</si>
  <si>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</si>
  <si>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</si>
  <si>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</si>
  <si>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</si>
  <si>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</si>
  <si>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</si>
  <si>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</si>
  <si>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</si>
  <si>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</si>
  <si>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</si>
  <si>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</si>
  <si>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</si>
  <si>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</si>
  <si>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</si>
  <si>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</si>
  <si>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</si>
  <si>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</si>
  <si>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</si>
  <si>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</si>
  <si>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</si>
  <si>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</si>
  <si>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</si>
  <si>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</si>
  <si>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</si>
  <si>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</si>
  <si>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</si>
  <si>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</si>
  <si>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</si>
  <si>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</si>
  <si>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</si>
  <si>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</si>
  <si>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</si>
  <si>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</si>
  <si>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</si>
  <si>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</si>
  <si>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</si>
  <si>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</si>
  <si>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</si>
  <si>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</si>
  <si>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</si>
  <si>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</si>
  <si>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</si>
  <si>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</si>
  <si>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</si>
  <si>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</si>
  <si>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</si>
  <si>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</si>
  <si>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</si>
  <si>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</si>
  <si>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</si>
  <si>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</si>
  <si>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</si>
  <si>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</si>
  <si>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</si>
  <si>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</si>
  <si>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</si>
  <si>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</si>
  <si>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</si>
  <si>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</si>
  <si>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</si>
  <si>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</si>
  <si>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</si>
  <si>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</si>
  <si>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</si>
  <si>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</si>
  <si>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</si>
  <si>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</si>
  <si>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</si>
  <si>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</si>
  <si>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</si>
  <si>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</si>
  <si>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</si>
  <si>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</si>
  <si>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</si>
  <si>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</si>
  <si>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</si>
  <si>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</si>
  <si>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</si>
  <si>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</si>
  <si>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</si>
  <si>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</si>
  <si>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</si>
  <si>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</si>
  <si>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</si>
  <si>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</si>
  <si>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</si>
  <si>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</si>
  <si>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</si>
  <si>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</si>
  <si>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</si>
  <si>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</si>
  <si>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</si>
  <si>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</si>
  <si>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</si>
  <si>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</si>
  <si>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</si>
  <si>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</si>
  <si>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</si>
  <si>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</si>
  <si>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</si>
  <si>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</si>
  <si>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</si>
  <si>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</si>
  <si>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</si>
  <si>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</si>
  <si>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</si>
  <si>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</si>
  <si>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</si>
  <si>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</si>
  <si>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</si>
  <si>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</si>
  <si>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</si>
  <si>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</si>
  <si>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</si>
  <si>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</si>
  <si>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</si>
  <si>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</si>
  <si>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</si>
  <si>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</si>
  <si>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</si>
  <si>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</si>
  <si>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</si>
  <si>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</si>
  <si>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</si>
  <si>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</si>
  <si>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</si>
  <si>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</si>
  <si>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</si>
  <si>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</si>
  <si>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</si>
  <si>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</si>
  <si>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</si>
  <si>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</si>
  <si>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</si>
  <si>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</si>
  <si>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</si>
  <si>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</si>
  <si>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</si>
  <si>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</si>
  <si>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</si>
  <si>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</si>
  <si>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</si>
  <si>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</si>
  <si>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</si>
  <si>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</si>
  <si>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</si>
  <si>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</si>
  <si>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</si>
  <si>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</si>
  <si>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</si>
  <si>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</si>
  <si>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</si>
  <si>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</si>
  <si>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</si>
  <si>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</si>
  <si>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</si>
  <si>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</si>
  <si>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</si>
  <si>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</si>
  <si>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</si>
  <si>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</si>
  <si>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</si>
  <si>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</si>
  <si>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</si>
  <si>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</si>
  <si>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</si>
  <si>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</si>
  <si>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</si>
  <si>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</si>
  <si>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</si>
  <si>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</si>
  <si>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</si>
  <si>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</si>
  <si>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</si>
  <si>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</si>
  <si>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</si>
  <si>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</si>
  <si>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</si>
  <si>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</si>
  <si>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</si>
  <si>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</si>
  <si>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</si>
  <si>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</si>
  <si>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</si>
  <si>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</si>
  <si>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</si>
  <si>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</si>
  <si>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</si>
  <si>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</si>
  <si>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</si>
  <si>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</si>
  <si>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</si>
  <si>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</si>
  <si>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</si>
  <si>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</si>
  <si>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</si>
  <si>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</si>
  <si>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</si>
  <si>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</si>
  <si>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</si>
  <si>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</si>
  <si>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</si>
  <si>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</si>
  <si>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</si>
  <si>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</si>
  <si>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</si>
  <si>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</si>
  <si>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</si>
  <si>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</si>
  <si>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</si>
  <si>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</si>
  <si>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</si>
  <si>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</si>
  <si>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</si>
  <si>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</si>
  <si>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</si>
  <si>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</si>
  <si>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</si>
  <si>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</si>
  <si>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</si>
  <si>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</si>
  <si>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</si>
  <si>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</si>
  <si>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</si>
  <si>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</si>
  <si>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</si>
  <si>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</si>
  <si>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</si>
  <si>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</si>
  <si>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</si>
  <si>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</si>
  <si>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</si>
  <si>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</si>
  <si>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</si>
  <si>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</si>
  <si>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</si>
  <si>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</si>
  <si>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</si>
  <si>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</si>
  <si>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</si>
  <si>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</si>
  <si>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</si>
  <si>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</si>
  <si>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</si>
  <si>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</si>
  <si>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</si>
  <si>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</si>
  <si>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</si>
  <si>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</si>
  <si>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</si>
  <si>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</si>
  <si>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</si>
  <si>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</si>
  <si>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</si>
  <si>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</si>
  <si>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</si>
  <si>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</si>
  <si>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</si>
  <si>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</si>
  <si>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</si>
  <si>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</si>
  <si>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</si>
  <si>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</si>
  <si>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</si>
  <si>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</si>
  <si>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</si>
  <si>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</si>
  <si>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</si>
  <si>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</si>
  <si>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</si>
  <si>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</si>
  <si>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</si>
  <si>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</si>
  <si>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</si>
  <si>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</si>
  <si>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</si>
  <si>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</si>
  <si>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</si>
  <si>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</si>
  <si>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</si>
  <si>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</si>
  <si>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</si>
  <si>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</si>
  <si>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</si>
  <si>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</si>
  <si>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</si>
  <si>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</si>
  <si>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</si>
  <si>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</si>
  <si>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</si>
  <si>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</si>
  <si>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</si>
  <si>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</si>
  <si>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</si>
  <si>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</si>
  <si>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</si>
  <si>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</si>
  <si>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</si>
  <si>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</si>
  <si>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</si>
  <si>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</si>
  <si>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</si>
  <si>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</si>
  <si>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</si>
  <si>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</si>
  <si>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</si>
  <si>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</si>
  <si>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</si>
  <si>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</si>
  <si>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</si>
  <si>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</si>
  <si>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</si>
  <si>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</si>
  <si>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</si>
  <si>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</si>
  <si>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</si>
  <si>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</si>
  <si>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</si>
  <si>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</si>
  <si>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</si>
  <si>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</si>
  <si>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</si>
  <si>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</si>
  <si>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</si>
  <si>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</si>
  <si>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</si>
  <si>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</si>
  <si>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</si>
  <si>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</si>
  <si>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</si>
  <si>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</si>
  <si>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</si>
  <si>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</si>
  <si>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</si>
  <si>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</si>
  <si>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</si>
  <si>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</si>
  <si>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</si>
  <si>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</si>
  <si>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</si>
  <si>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</si>
  <si>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</si>
  <si>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</si>
  <si>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</si>
  <si>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</si>
  <si>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</si>
  <si>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</si>
  <si>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</si>
  <si>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</si>
  <si>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</si>
  <si>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</si>
  <si>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</si>
  <si>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</si>
  <si>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</si>
  <si>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</si>
  <si>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</si>
  <si>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</si>
  <si>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</si>
  <si>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</si>
  <si>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</si>
  <si>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</si>
  <si>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</si>
  <si>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</si>
  <si>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</si>
  <si>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</si>
  <si>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</si>
  <si>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</si>
  <si>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</si>
  <si>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</si>
  <si>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</si>
  <si>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</si>
  <si>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</si>
  <si>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</si>
  <si>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</si>
  <si>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</si>
  <si>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</si>
  <si>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</si>
  <si>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</si>
  <si>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</si>
  <si>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</si>
  <si>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</si>
  <si>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</si>
  <si>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</si>
  <si>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</si>
  <si>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</si>
  <si>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</si>
  <si>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</si>
  <si>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</si>
  <si>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</si>
  <si>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</si>
  <si>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</si>
  <si>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</si>
  <si>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</si>
  <si>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</si>
  <si>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</si>
  <si>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</si>
  <si>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</si>
  <si>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</si>
  <si>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</si>
  <si>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</si>
  <si>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</si>
  <si>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</si>
  <si>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</si>
  <si>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</si>
  <si>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</si>
  <si>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</si>
  <si>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</si>
  <si>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</si>
  <si>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</si>
  <si>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</si>
  <si>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</si>
  <si>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</si>
  <si>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</si>
  <si>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</si>
  <si>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</si>
  <si>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</si>
  <si>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</si>
  <si>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</si>
  <si>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</si>
  <si>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</si>
  <si>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</si>
  <si>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</si>
  <si>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</si>
  <si>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</si>
  <si>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</si>
  <si>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</si>
  <si>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</si>
  <si>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</si>
  <si>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</si>
  <si>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</si>
  <si>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</si>
  <si>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</si>
  <si>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</si>
  <si>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</si>
  <si>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</si>
  <si>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</si>
  <si>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</si>
  <si>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</si>
  <si>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</si>
  <si>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</si>
  <si>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</si>
  <si>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</si>
  <si>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</si>
  <si>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</si>
  <si>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</si>
  <si>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</si>
  <si>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</si>
  <si>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</si>
  <si>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</si>
  <si>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</si>
  <si>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</si>
  <si>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</si>
  <si>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</si>
  <si>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</si>
  <si>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</si>
  <si>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</si>
  <si>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</si>
  <si>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</si>
  <si>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</si>
  <si>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</si>
  <si>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</si>
  <si>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</si>
  <si>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</si>
  <si>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</si>
  <si>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</si>
  <si>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</si>
  <si>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</si>
  <si>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</si>
  <si>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</si>
  <si>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</si>
  <si>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</si>
  <si>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</si>
  <si>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</si>
  <si>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</si>
  <si>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</si>
  <si>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</si>
  <si>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</si>
  <si>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</si>
  <si>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</si>
  <si>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</si>
  <si>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</si>
  <si>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</si>
  <si>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</si>
  <si>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</si>
  <si>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</si>
  <si>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</si>
  <si>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</si>
  <si>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</si>
  <si>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</si>
  <si>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</si>
  <si>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</si>
  <si>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</si>
  <si>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</si>
  <si>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</si>
  <si>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</si>
  <si>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</si>
  <si>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</si>
  <si>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</si>
  <si>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</si>
  <si>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</si>
  <si>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</si>
  <si>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</si>
  <si>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</si>
  <si>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</si>
  <si>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</si>
  <si>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</si>
  <si>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</si>
  <si>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</si>
  <si>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</si>
  <si>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</si>
  <si>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</si>
  <si>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</si>
  <si>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</si>
  <si>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</si>
  <si>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</si>
  <si>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</si>
  <si>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</si>
  <si>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</si>
  <si>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</si>
  <si>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</si>
  <si>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</si>
  <si>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</si>
  <si>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</si>
  <si>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</si>
  <si>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</si>
  <si>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</si>
  <si>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</si>
  <si>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</si>
  <si>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</si>
  <si>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</si>
  <si>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</si>
  <si>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</si>
  <si>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</si>
  <si>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</si>
  <si>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</si>
  <si>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</si>
  <si>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</si>
  <si>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</si>
  <si>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</si>
  <si>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</si>
  <si>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</si>
  <si>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</si>
  <si>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</si>
  <si>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</si>
  <si>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</si>
  <si>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</si>
  <si>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</si>
  <si>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</si>
  <si>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</si>
  <si>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</si>
  <si>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</si>
  <si>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</si>
  <si>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</si>
  <si>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</si>
  <si>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</si>
  <si>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</si>
  <si>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</si>
  <si>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</si>
  <si>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</si>
  <si>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</si>
  <si>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</si>
  <si>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</si>
  <si>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</si>
  <si>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</si>
  <si>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</si>
  <si>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</si>
  <si>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</si>
  <si>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</si>
  <si>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</si>
  <si>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</si>
  <si>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</si>
  <si>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</si>
  <si>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</si>
  <si>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</si>
  <si>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</si>
  <si>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</si>
  <si>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</si>
  <si>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</si>
  <si>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</si>
  <si>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</si>
  <si>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</si>
  <si>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</si>
  <si>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</si>
  <si>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</si>
  <si>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</si>
  <si>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</si>
  <si>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</si>
  <si>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</si>
  <si>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</si>
  <si>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</si>
  <si>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</si>
  <si>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</si>
  <si>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</si>
  <si>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</si>
  <si>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</si>
  <si>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</si>
  <si>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</si>
  <si>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</si>
  <si>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</si>
  <si>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</si>
  <si>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</si>
  <si>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</si>
  <si>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</si>
  <si>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</si>
  <si>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</si>
  <si>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</si>
  <si>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</si>
  <si>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</si>
  <si>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</si>
  <si>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</si>
  <si>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</si>
  <si>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</si>
  <si>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</si>
  <si>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</si>
  <si>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</si>
  <si>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</si>
  <si>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</si>
  <si>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</si>
  <si>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</si>
  <si>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</si>
  <si>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</si>
  <si>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</si>
  <si>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</si>
  <si>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</si>
  <si>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</si>
  <si>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</si>
  <si>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</si>
  <si>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</si>
  <si>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</si>
  <si>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</si>
  <si>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</si>
  <si>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</si>
  <si>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</si>
  <si>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</si>
  <si>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</si>
  <si>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</si>
  <si>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</si>
  <si>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</si>
  <si>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</si>
  <si>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</si>
  <si>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</si>
  <si>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</si>
  <si>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</si>
  <si>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</si>
  <si>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</si>
  <si>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</si>
  <si>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</si>
  <si>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</si>
  <si>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</si>
  <si>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</si>
  <si>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</si>
  <si>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</si>
  <si>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</si>
  <si>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</si>
  <si>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</si>
  <si>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</si>
  <si>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</si>
  <si>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</si>
  <si>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</si>
  <si>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</si>
  <si>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</si>
  <si>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</si>
  <si>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</si>
  <si>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</si>
  <si>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</si>
  <si>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</si>
  <si>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</si>
  <si>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</si>
  <si>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</si>
  <si>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</si>
  <si>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</si>
  <si>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</si>
  <si>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</si>
  <si>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</si>
  <si>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</si>
  <si>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</si>
  <si>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</si>
  <si>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</si>
  <si>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</si>
  <si>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</si>
  <si>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</si>
  <si>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</si>
  <si>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</si>
  <si>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</si>
  <si>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</si>
  <si>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</si>
  <si>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</si>
  <si>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</si>
  <si>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</si>
  <si>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</si>
  <si>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</si>
  <si>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</si>
  <si>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</si>
  <si>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</si>
  <si>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</si>
  <si>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</si>
  <si>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</si>
  <si>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</si>
  <si>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</si>
  <si>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</si>
  <si>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</si>
  <si>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</si>
  <si>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</si>
  <si>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</si>
  <si>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</si>
  <si>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</si>
  <si>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</si>
  <si>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</si>
  <si>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</si>
  <si>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</si>
  <si>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</si>
  <si>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</si>
  <si>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</si>
  <si>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</si>
  <si>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</si>
  <si>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</si>
  <si>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</si>
  <si>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</si>
  <si>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</si>
  <si>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</si>
  <si>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</si>
  <si>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</si>
  <si>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</si>
  <si>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</si>
  <si>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</si>
  <si>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</si>
  <si>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</si>
  <si>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</si>
  <si>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</si>
  <si>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</si>
  <si>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</si>
  <si>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</si>
  <si>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</si>
  <si>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</si>
  <si>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</si>
  <si>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</si>
  <si>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</si>
  <si>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</si>
  <si>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</si>
  <si>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</si>
  <si>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</si>
  <si>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</si>
  <si>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</si>
  <si>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</si>
  <si>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</si>
  <si>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</si>
  <si>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</si>
  <si>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</si>
  <si>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</si>
  <si>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</si>
  <si>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</si>
  <si>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</si>
  <si>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</si>
  <si>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</si>
  <si>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</si>
  <si>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</si>
  <si>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</si>
  <si>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</si>
  <si>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</si>
  <si>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</si>
  <si>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</si>
  <si>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</si>
  <si>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</si>
  <si>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</si>
  <si>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</si>
  <si>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</si>
  <si>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</si>
  <si>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</si>
  <si>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</si>
  <si>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</si>
  <si>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</si>
  <si>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</si>
  <si>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</si>
  <si>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</si>
  <si>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</si>
  <si>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</si>
  <si>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</si>
  <si>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</si>
  <si>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</si>
  <si>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</si>
  <si>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</si>
  <si>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</si>
  <si>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</si>
  <si>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</si>
  <si>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</si>
  <si>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</si>
  <si>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</si>
  <si>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</si>
  <si>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</si>
  <si>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</si>
  <si>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</si>
  <si>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</si>
  <si>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</si>
  <si>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</si>
  <si>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</si>
  <si>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</si>
  <si>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</si>
  <si>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</si>
  <si>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</si>
  <si>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</si>
  <si>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</si>
  <si>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</si>
  <si>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</si>
  <si>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</si>
  <si>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</si>
  <si>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</si>
  <si>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</si>
  <si>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</si>
  <si>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</si>
  <si>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</si>
  <si>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</si>
  <si>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</si>
  <si>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</si>
  <si>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</si>
  <si>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</si>
  <si>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</si>
  <si>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</si>
  <si>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</si>
  <si>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</si>
  <si>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</si>
  <si>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</si>
  <si>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</si>
  <si>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</si>
  <si>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</si>
  <si>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</si>
  <si>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</si>
  <si>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</si>
  <si>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</si>
  <si>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</si>
  <si>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</si>
  <si>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</si>
  <si>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</si>
  <si>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</si>
  <si>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</si>
  <si>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</si>
  <si>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</si>
  <si>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</si>
  <si>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</si>
  <si>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</si>
  <si>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</si>
  <si>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</si>
  <si>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</si>
  <si>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</si>
  <si>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</si>
  <si>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</si>
  <si>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</si>
  <si>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</si>
  <si>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</si>
  <si>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</si>
  <si>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</si>
  <si>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</si>
  <si>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</si>
  <si>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</si>
  <si>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</si>
  <si>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</si>
  <si>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</si>
  <si>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</si>
  <si>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</si>
  <si>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</si>
  <si>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</si>
  <si>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</si>
  <si>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</si>
  <si>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</si>
  <si>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</si>
  <si>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</si>
  <si>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</si>
  <si>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</si>
  <si>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</si>
  <si>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</si>
  <si>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</si>
  <si>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</si>
  <si>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</si>
  <si>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</si>
  <si>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</si>
  <si>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</si>
  <si>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</si>
  <si>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</si>
  <si>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</si>
  <si>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</si>
  <si>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</si>
  <si>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</si>
  <si>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</si>
  <si>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</si>
  <si>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</si>
  <si>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</si>
  <si>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</si>
  <si>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</si>
  <si>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</si>
  <si>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</si>
  <si>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</si>
  <si>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</si>
  <si>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</si>
  <si>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</si>
  <si>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</si>
  <si>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</si>
  <si>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</si>
  <si>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</si>
  <si>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</si>
  <si>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</si>
  <si>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</si>
  <si>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</si>
  <si>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</si>
  <si>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</si>
  <si>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</si>
  <si>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</si>
  <si>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</si>
  <si>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</si>
  <si>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</si>
  <si>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</si>
  <si>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</si>
  <si>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</si>
  <si>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</si>
  <si>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</si>
  <si>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</si>
  <si>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</si>
  <si>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</si>
  <si>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</si>
  <si>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</si>
  <si>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</si>
  <si>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</si>
  <si>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</si>
  <si>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</si>
  <si>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</si>
  <si>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</si>
  <si>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</si>
  <si>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</si>
  <si>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</si>
  <si>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</si>
  <si>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</si>
  <si>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</si>
  <si>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</si>
  <si>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</si>
  <si>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</si>
  <si>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</si>
  <si>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</si>
  <si>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</si>
  <si>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</si>
  <si>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</si>
  <si>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</si>
  <si>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</si>
  <si>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</si>
  <si>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</si>
  <si>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</si>
  <si>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</si>
  <si>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</si>
  <si>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</si>
  <si>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</si>
  <si>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</si>
  <si>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</si>
  <si>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</si>
  <si>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</si>
  <si>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</si>
  <si>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</si>
  <si>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</si>
  <si>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</si>
  <si>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</si>
  <si>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</si>
  <si>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</si>
  <si>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</si>
  <si>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</si>
  <si>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</si>
  <si>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</si>
  <si>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</si>
  <si>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</si>
  <si>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</si>
  <si>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</si>
  <si>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</si>
  <si>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</si>
  <si>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</si>
  <si>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</si>
  <si>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</si>
  <si>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</si>
  <si>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</si>
  <si>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</si>
  <si>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</si>
  <si>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</si>
  <si>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</si>
  <si>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</si>
  <si>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</si>
  <si>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</si>
  <si>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</si>
  <si>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</si>
  <si>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</si>
  <si>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</si>
  <si>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</si>
  <si>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</si>
  <si>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</si>
  <si>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</si>
  <si>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</si>
  <si>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</si>
  <si>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</si>
  <si>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</si>
  <si>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</si>
  <si>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</si>
  <si>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</si>
  <si>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</si>
  <si>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</si>
  <si>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</si>
  <si>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</si>
  <si>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</si>
  <si>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</si>
  <si>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</si>
  <si>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</si>
  <si>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</si>
  <si>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</si>
  <si>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</si>
  <si>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</si>
  <si>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</si>
  <si>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</si>
  <si>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</si>
  <si>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</si>
  <si>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</si>
  <si>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</si>
  <si>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</si>
  <si>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</si>
  <si>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</si>
  <si>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</si>
  <si>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</si>
  <si>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</si>
  <si>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</si>
  <si>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</si>
  <si>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</si>
  <si>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</si>
  <si>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</si>
  <si>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</si>
  <si>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</si>
  <si>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</si>
  <si>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</si>
  <si>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</si>
  <si>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</si>
  <si>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</si>
  <si>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</si>
  <si>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</si>
  <si>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</si>
  <si>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</si>
  <si>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</si>
  <si>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</si>
  <si>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</si>
  <si>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</si>
  <si>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</si>
  <si>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</si>
  <si>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</si>
  <si>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</si>
  <si>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</si>
  <si>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</si>
  <si>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</si>
  <si>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</si>
  <si>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</si>
  <si>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</si>
  <si>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</si>
  <si>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</si>
  <si>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</si>
  <si>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</si>
  <si>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</si>
  <si>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</si>
  <si>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</si>
  <si>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</si>
  <si>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</si>
  <si>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</si>
  <si>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</si>
  <si>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</si>
  <si>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</si>
  <si>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</si>
  <si>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</si>
  <si>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</si>
  <si>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</si>
  <si>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</si>
  <si>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</si>
  <si>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</si>
  <si>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</si>
  <si>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</si>
  <si>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</si>
  <si>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</si>
  <si>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</si>
  <si>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</si>
  <si>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</si>
  <si>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</si>
  <si>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</si>
  <si>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</si>
  <si>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</si>
  <si>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</si>
  <si>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</si>
  <si>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</si>
  <si>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</si>
  <si>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</si>
  <si>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</si>
  <si>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</si>
  <si>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</si>
  <si>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</si>
  <si>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</si>
  <si>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</si>
  <si>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</si>
  <si>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</si>
  <si>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</si>
  <si>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</si>
  <si>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</si>
  <si>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</si>
  <si>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</si>
  <si>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</si>
  <si>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</si>
  <si>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</si>
  <si>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</si>
  <si>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</si>
  <si>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</si>
  <si>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</si>
  <si>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</si>
  <si>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</si>
  <si>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</si>
  <si>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</si>
  <si>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</si>
  <si>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</si>
  <si>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</si>
  <si>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</si>
  <si>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</si>
  <si>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</si>
  <si>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</si>
  <si>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</si>
  <si>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</si>
  <si>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</si>
  <si>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</si>
  <si>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</si>
  <si>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</si>
  <si>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</si>
  <si>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</si>
  <si>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</si>
  <si>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</si>
  <si>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</si>
  <si>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</si>
  <si>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</si>
  <si>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</si>
  <si>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</si>
  <si>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</si>
  <si>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</si>
  <si>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</si>
  <si>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</si>
  <si>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</si>
  <si>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</si>
  <si>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</si>
  <si>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</si>
  <si>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</si>
  <si>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</si>
  <si>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</si>
  <si>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</si>
  <si>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</si>
  <si>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</si>
  <si>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</si>
  <si>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</si>
  <si>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</si>
  <si>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</si>
  <si>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</si>
  <si>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</si>
  <si>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</si>
  <si>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</si>
  <si>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</si>
  <si>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</si>
  <si>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</si>
  <si>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</si>
  <si>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</si>
  <si>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</si>
  <si>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</si>
  <si>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</si>
  <si>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</si>
  <si>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</si>
  <si>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</si>
  <si>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</si>
  <si>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</si>
  <si>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</si>
  <si>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</si>
  <si>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</si>
  <si>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</si>
  <si>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</si>
  <si>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</si>
  <si>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</si>
  <si>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</si>
  <si>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</si>
  <si>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</si>
  <si>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</si>
  <si>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</si>
  <si>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</si>
  <si>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</si>
  <si>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</si>
  <si>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</si>
  <si>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</si>
  <si>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</si>
  <si>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</si>
  <si>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</si>
  <si>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</si>
  <si>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</si>
  <si>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</si>
  <si>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</si>
  <si>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</si>
  <si>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</si>
  <si>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</si>
  <si>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</si>
  <si>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</si>
  <si>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</si>
  <si>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</si>
  <si>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</si>
  <si>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</si>
  <si>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</si>
  <si>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</si>
  <si>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</si>
  <si>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</si>
  <si>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</si>
  <si>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</si>
  <si>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</si>
  <si>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</si>
  <si>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</si>
  <si>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</si>
  <si>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</si>
  <si>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</si>
  <si>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</si>
  <si>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</si>
  <si>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</si>
  <si>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</si>
  <si>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</si>
  <si>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</si>
  <si>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</si>
  <si>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</si>
  <si>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</si>
  <si>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</si>
  <si>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</si>
  <si>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</si>
  <si>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</si>
  <si>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</si>
  <si>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</si>
  <si>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</si>
  <si>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</si>
  <si>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</si>
  <si>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</si>
  <si>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</si>
  <si>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</si>
  <si>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</si>
  <si>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</si>
  <si>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</si>
  <si>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</si>
  <si>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</si>
  <si>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</si>
  <si>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</si>
  <si>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</si>
  <si>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</si>
  <si>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</si>
  <si>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</si>
  <si>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</si>
  <si>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</si>
  <si>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</si>
  <si>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</si>
  <si>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</si>
  <si>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</si>
  <si>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</si>
  <si>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</si>
  <si>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</si>
  <si>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</si>
  <si>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</si>
  <si>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</si>
  <si>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</si>
  <si>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</si>
  <si>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</si>
  <si>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</si>
  <si>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</si>
  <si>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</si>
  <si>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</si>
  <si>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</si>
  <si>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</si>
  <si>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</si>
  <si>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</si>
  <si>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</si>
  <si>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</si>
  <si>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</si>
  <si>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</si>
  <si>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</si>
  <si>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</si>
  <si>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</si>
  <si>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</si>
  <si>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</si>
  <si>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</si>
  <si>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</si>
  <si>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</si>
  <si>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</si>
  <si>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</si>
  <si>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</si>
  <si>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</si>
  <si>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</si>
  <si>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</si>
  <si>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</si>
  <si>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</si>
  <si>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</si>
  <si>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</si>
  <si>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</si>
  <si>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</si>
  <si>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</si>
  <si>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</si>
  <si>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</si>
  <si>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</si>
  <si>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</si>
  <si>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</si>
  <si>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</si>
  <si>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</si>
  <si>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</si>
  <si>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</si>
  <si>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</si>
  <si>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</si>
  <si>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</si>
  <si>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</si>
  <si>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</si>
  <si>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</si>
  <si>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</si>
  <si>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</si>
  <si>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</si>
  <si>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</si>
  <si>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</si>
  <si>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</si>
  <si>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</si>
  <si>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</si>
  <si>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</si>
  <si>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</si>
  <si>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</si>
  <si>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</si>
  <si>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</si>
  <si>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</si>
  <si>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</si>
  <si>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</si>
  <si>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</si>
  <si>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</si>
  <si>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</si>
  <si>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</si>
  <si>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</si>
  <si>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</si>
  <si>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</si>
  <si>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</si>
  <si>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</si>
  <si>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</si>
  <si>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</si>
  <si>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</si>
  <si>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</si>
  <si>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</si>
  <si>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</si>
  <si>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</si>
  <si>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</si>
  <si>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</si>
  <si>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</si>
  <si>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</si>
  <si>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</si>
  <si>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</si>
  <si>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</si>
  <si>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</si>
  <si>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</si>
  <si>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</si>
  <si>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</si>
  <si>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</si>
  <si>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</si>
  <si>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</si>
  <si>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</si>
  <si>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</si>
  <si>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</si>
  <si>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</si>
  <si>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</si>
  <si>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</si>
  <si>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</si>
  <si>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</si>
  <si>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</si>
  <si>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</si>
  <si>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</si>
  <si>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</si>
  <si>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</si>
  <si>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</si>
  <si>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</si>
  <si>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</si>
  <si>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</si>
  <si>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</si>
  <si>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</si>
  <si>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</si>
  <si>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</si>
  <si>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</si>
  <si>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</si>
  <si>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</si>
  <si>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</si>
  <si>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</si>
  <si>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</si>
  <si>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</si>
  <si>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</si>
  <si>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</si>
  <si>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</si>
  <si>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</si>
  <si>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</si>
  <si>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</si>
  <si>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</si>
  <si>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</si>
  <si>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</si>
  <si>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</si>
  <si>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</si>
  <si>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</si>
  <si>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</si>
  <si>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</si>
  <si>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</si>
  <si>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</si>
  <si>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</si>
  <si>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</si>
  <si>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</si>
  <si>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</si>
  <si>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</si>
  <si>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</si>
  <si>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</si>
  <si>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</si>
  <si>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</si>
  <si>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</si>
  <si>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</si>
  <si>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</si>
  <si>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</si>
  <si>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</si>
  <si>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</si>
  <si>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</si>
  <si>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</si>
  <si>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</si>
  <si>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</si>
  <si>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</si>
  <si>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</si>
  <si>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</si>
  <si>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</si>
  <si>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</si>
  <si>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</si>
  <si>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</si>
  <si>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</si>
  <si>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</si>
  <si>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</si>
  <si>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</si>
  <si>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</si>
  <si>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</si>
  <si>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</si>
  <si>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</si>
  <si>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</si>
  <si>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</si>
  <si>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</si>
  <si>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</si>
  <si>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</si>
  <si>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</si>
  <si>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</si>
  <si>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</si>
  <si>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</si>
  <si>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</si>
  <si>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</si>
  <si>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</si>
  <si>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</si>
  <si>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</si>
  <si>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</si>
  <si>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</si>
  <si>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</si>
  <si>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</si>
  <si>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</si>
  <si>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</si>
  <si>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</si>
  <si>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</si>
  <si>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</si>
  <si>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</si>
  <si>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</si>
  <si>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</si>
  <si>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</si>
  <si>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</si>
  <si>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</si>
  <si>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</si>
  <si>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</si>
  <si>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</si>
  <si>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</si>
  <si>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</si>
  <si>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</si>
  <si>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</si>
  <si>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</si>
  <si>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</si>
  <si>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</si>
  <si>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</si>
  <si>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</si>
  <si>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</si>
  <si>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</si>
  <si>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</si>
  <si>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</si>
  <si>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</si>
  <si>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</si>
  <si>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</si>
  <si>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</si>
  <si>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</si>
  <si>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</si>
  <si>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</si>
  <si>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</si>
  <si>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</si>
  <si>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</si>
  <si>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</si>
  <si>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</si>
  <si>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</si>
  <si>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</si>
  <si>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</si>
  <si>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</si>
  <si>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</si>
  <si>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</si>
  <si>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</si>
  <si>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</si>
  <si>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</si>
  <si>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</si>
  <si>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</si>
  <si>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</si>
  <si>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</si>
  <si>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</si>
  <si>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</si>
  <si>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</si>
  <si>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</si>
  <si>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</si>
  <si>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</si>
  <si>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</si>
  <si>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</si>
  <si>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</si>
  <si>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</si>
  <si>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</si>
  <si>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</si>
  <si>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</si>
  <si>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</si>
  <si>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</si>
  <si>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</si>
  <si>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</si>
  <si>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</si>
  <si>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</si>
  <si>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</si>
  <si>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</si>
  <si>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</si>
  <si>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</si>
  <si>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</si>
  <si>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</si>
  <si>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</si>
  <si>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</si>
  <si>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</si>
  <si>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</si>
  <si>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</si>
  <si>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</si>
  <si>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</si>
  <si>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</si>
  <si>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</si>
  <si>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</si>
  <si>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</si>
  <si>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</si>
  <si>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</si>
  <si>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</si>
  <si>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</si>
  <si>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</si>
  <si>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</si>
  <si>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</si>
  <si>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</si>
  <si>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</si>
  <si>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</si>
  <si>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</si>
  <si>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</si>
  <si>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</si>
  <si>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</si>
  <si>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</si>
  <si>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</si>
  <si>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</si>
  <si>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</si>
  <si>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</si>
  <si>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</si>
  <si>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</si>
  <si>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</si>
  <si>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</si>
  <si>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</si>
  <si>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</si>
  <si>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</si>
  <si>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</si>
  <si>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</si>
  <si>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</si>
  <si>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</si>
  <si>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</si>
  <si>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</si>
  <si>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</si>
  <si>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</si>
  <si>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</si>
  <si>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</si>
  <si>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</si>
  <si>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</si>
  <si>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</si>
  <si>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</si>
  <si>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</si>
  <si>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</si>
  <si>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</si>
  <si>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</si>
  <si>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</si>
  <si>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</si>
  <si>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</si>
  <si>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</si>
  <si>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</si>
  <si>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</si>
  <si>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</si>
  <si>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</si>
  <si>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</si>
  <si>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</si>
  <si>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</si>
  <si>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</si>
  <si>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</si>
  <si>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</si>
  <si>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</si>
  <si>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</si>
  <si>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</si>
  <si>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</si>
  <si>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</si>
  <si>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</si>
  <si>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</si>
  <si>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</si>
  <si>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</si>
  <si>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</si>
  <si>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</si>
  <si>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</si>
  <si>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</si>
  <si>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</si>
  <si>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</si>
  <si>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</si>
  <si>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</si>
  <si>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</si>
  <si>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</si>
  <si>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</si>
  <si>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</si>
  <si>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</si>
  <si>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</si>
  <si>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</si>
  <si>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</si>
  <si>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</si>
  <si>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</si>
  <si>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</si>
  <si>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</si>
  <si>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</si>
  <si>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</si>
  <si>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</si>
  <si>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</si>
  <si>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</si>
  <si>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</si>
  <si>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</si>
  <si>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</si>
  <si>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</si>
  <si>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</si>
  <si>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</si>
  <si>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</si>
  <si>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</si>
  <si>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</si>
  <si>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</si>
  <si>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</si>
  <si>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</si>
  <si>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</si>
  <si>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</si>
  <si>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</si>
  <si>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</si>
  <si>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</si>
  <si>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</si>
  <si>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</si>
  <si>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</si>
  <si>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</si>
  <si>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</si>
  <si>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</si>
  <si>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</si>
  <si>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</si>
  <si>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</si>
  <si>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</si>
  <si>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</si>
  <si>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</si>
  <si>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</si>
  <si>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</si>
  <si>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</si>
  <si>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</si>
  <si>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</si>
  <si>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</si>
  <si>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</si>
  <si>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</si>
  <si>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</si>
  <si>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</si>
  <si>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</si>
  <si>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</si>
  <si>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</si>
  <si>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</si>
  <si>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</si>
  <si>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</si>
  <si>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</si>
  <si>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</si>
  <si>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</si>
  <si>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</si>
  <si>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</si>
  <si>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</si>
  <si>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</si>
  <si>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</si>
  <si>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</si>
  <si>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</si>
  <si>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</si>
  <si>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</si>
  <si>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</si>
  <si>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</si>
  <si>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</si>
  <si>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</si>
  <si>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</si>
  <si>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</si>
  <si>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</si>
  <si>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</si>
  <si>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</si>
  <si>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</si>
  <si>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</si>
  <si>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</si>
  <si>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</si>
  <si>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</si>
  <si>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</si>
  <si>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</si>
  <si>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</si>
  <si>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</si>
  <si>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</si>
  <si>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</si>
  <si>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</si>
  <si>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</si>
  <si>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</si>
  <si>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</si>
  <si>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</si>
  <si>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</si>
  <si>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</si>
  <si>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</si>
  <si>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</si>
  <si>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</si>
  <si>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</si>
  <si>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</si>
  <si>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</si>
  <si>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</si>
  <si>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</si>
  <si>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</si>
  <si>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</si>
  <si>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</si>
  <si>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</si>
  <si>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</si>
  <si>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</si>
  <si>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</si>
  <si>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</si>
  <si>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</si>
  <si>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</si>
  <si>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</si>
  <si>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</si>
  <si>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</si>
  <si>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</si>
  <si>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</si>
  <si>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</si>
  <si>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</si>
  <si>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</si>
  <si>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</si>
  <si>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</si>
  <si>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</si>
  <si>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</si>
  <si>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</si>
  <si>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</si>
  <si>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</si>
  <si>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</si>
  <si>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</si>
  <si>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</si>
  <si>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</si>
  <si>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</si>
  <si>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</si>
  <si>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</si>
  <si>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</si>
  <si>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</si>
  <si>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</si>
  <si>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</si>
  <si>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</si>
  <si>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</si>
  <si>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</si>
  <si>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</si>
  <si>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</si>
  <si>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</si>
  <si>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</si>
  <si>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</si>
  <si>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</si>
  <si>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</si>
  <si>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</si>
  <si>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</si>
  <si>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</si>
  <si>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</si>
  <si>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</si>
  <si>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</si>
  <si>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</si>
  <si>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</si>
  <si>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</si>
  <si>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</si>
  <si>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</si>
  <si>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</si>
  <si>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</si>
  <si>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</si>
  <si>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</si>
  <si>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</si>
  <si>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</si>
  <si>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</si>
  <si>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</si>
  <si>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</si>
  <si>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</si>
  <si>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</si>
  <si>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</si>
  <si>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</si>
  <si>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</si>
  <si>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</si>
  <si>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</si>
  <si>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</si>
  <si>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</si>
  <si>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</si>
  <si>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</si>
  <si>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</si>
  <si>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</si>
  <si>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</si>
  <si>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</si>
  <si>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</si>
  <si>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</si>
  <si>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</si>
  <si>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</si>
  <si>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</si>
  <si>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</si>
  <si>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</si>
  <si>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</si>
  <si>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</si>
  <si>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</si>
  <si>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</si>
  <si>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</si>
  <si>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</si>
  <si>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</si>
  <si>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</si>
  <si>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</si>
  <si>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</si>
  <si>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</si>
  <si>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</si>
  <si>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</si>
  <si>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</si>
  <si>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</si>
  <si>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</si>
  <si>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</si>
  <si>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</si>
  <si>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</si>
  <si>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</si>
  <si>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</si>
  <si>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</si>
  <si>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</si>
  <si>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</si>
  <si>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</si>
  <si>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</si>
  <si>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</si>
  <si>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</si>
  <si>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</si>
  <si>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</si>
  <si>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</si>
  <si>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</si>
  <si>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</si>
  <si>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</si>
  <si>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</si>
  <si>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</si>
  <si>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</si>
  <si>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</si>
  <si>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</si>
  <si>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</si>
  <si>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</si>
  <si>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</si>
  <si>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</si>
  <si>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</si>
  <si>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</si>
  <si>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</si>
  <si>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</si>
  <si>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</si>
  <si>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</si>
  <si>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</si>
  <si>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</si>
  <si>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</si>
  <si>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</si>
  <si>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</si>
  <si>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</si>
  <si>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</si>
  <si>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</si>
  <si>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</si>
  <si>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</si>
  <si>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</si>
  <si>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</si>
  <si>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</si>
  <si>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</si>
  <si>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</si>
  <si>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</si>
  <si>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</si>
  <si>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</si>
  <si>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</si>
  <si>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</si>
  <si>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</si>
  <si>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</si>
  <si>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</si>
  <si>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</si>
  <si>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</si>
  <si>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</si>
  <si>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</si>
  <si>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</si>
  <si>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</si>
  <si>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</si>
  <si>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</si>
  <si>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</si>
  <si>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</si>
  <si>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</si>
  <si>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</si>
  <si>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</si>
  <si>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</si>
  <si>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</si>
  <si>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</si>
  <si>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</si>
  <si>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</si>
  <si>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</si>
  <si>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</si>
  <si>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</si>
  <si>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</si>
  <si>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</si>
  <si>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</si>
  <si>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</si>
  <si>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</si>
  <si>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</si>
  <si>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</si>
  <si>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</si>
  <si>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</si>
  <si>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</si>
  <si>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</si>
  <si>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</si>
  <si>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</si>
  <si>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</si>
  <si>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</si>
  <si>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</si>
  <si>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</si>
  <si>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</si>
  <si>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</si>
  <si>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</si>
  <si>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</si>
  <si>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</si>
  <si>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</si>
  <si>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</si>
  <si>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</si>
  <si>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</si>
  <si>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</si>
  <si>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</si>
  <si>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</si>
  <si>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</si>
  <si>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</si>
  <si>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</si>
  <si>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</si>
  <si>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</si>
  <si>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</si>
  <si>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</si>
  <si>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</si>
  <si>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</si>
  <si>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</si>
  <si>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</si>
  <si>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</si>
  <si>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</si>
  <si>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</si>
  <si>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</si>
  <si>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</si>
  <si>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</si>
  <si>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</si>
  <si>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</si>
  <si>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</si>
  <si>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</si>
  <si>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</si>
  <si>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</si>
  <si>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</si>
  <si>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</si>
  <si>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</si>
  <si>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</si>
  <si>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</si>
  <si>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</si>
  <si>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</si>
  <si>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</si>
  <si>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</si>
  <si>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</si>
  <si>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</si>
  <si>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</si>
  <si>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</si>
  <si>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</si>
  <si>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</si>
  <si>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</si>
  <si>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</si>
  <si>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</si>
  <si>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</si>
  <si>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</si>
  <si>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</si>
  <si>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</si>
  <si>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</si>
  <si>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</si>
  <si>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</si>
  <si>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</si>
  <si>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</si>
  <si>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</si>
  <si>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</si>
  <si>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</si>
  <si>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</si>
  <si>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</si>
  <si>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</si>
  <si>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</si>
  <si>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</si>
  <si>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</si>
  <si>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</si>
  <si>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</si>
  <si>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</si>
  <si>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</si>
  <si>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</si>
  <si>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</si>
  <si>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</si>
  <si>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</si>
  <si>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</si>
  <si>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</si>
  <si>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</si>
  <si>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</si>
  <si>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</si>
  <si>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</si>
  <si>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</si>
  <si>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</si>
  <si>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</si>
  <si>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</si>
  <si>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</si>
  <si>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</si>
  <si>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</si>
  <si>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</si>
  <si>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</si>
  <si>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</si>
  <si>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</si>
  <si>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</si>
  <si>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</si>
  <si>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</si>
  <si>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</si>
  <si>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</si>
  <si>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</si>
  <si>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</si>
  <si>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</si>
  <si>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</si>
  <si>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</si>
  <si>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</si>
  <si>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</si>
  <si>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</si>
  <si>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</si>
  <si>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</si>
  <si>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</si>
  <si>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</si>
  <si>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</si>
  <si>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</si>
  <si>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</si>
  <si>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</si>
  <si>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</si>
  <si>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</si>
  <si>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</si>
  <si>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</si>
  <si>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</si>
  <si>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</si>
  <si>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</si>
  <si>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</si>
  <si>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</si>
  <si>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</si>
  <si>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</si>
  <si>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</si>
  <si>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</si>
  <si>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</si>
  <si>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</si>
  <si>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</si>
  <si>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</si>
  <si>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</si>
  <si>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</si>
  <si>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</si>
  <si>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</si>
  <si>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</si>
  <si>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</si>
  <si>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</si>
  <si>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</si>
  <si>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</si>
  <si>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</si>
  <si>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</si>
  <si>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</si>
  <si>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</si>
  <si>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</si>
  <si>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</si>
  <si>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</si>
  <si>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</si>
  <si>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</si>
  <si>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</si>
  <si>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</si>
  <si>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</si>
  <si>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</si>
  <si>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</si>
  <si>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</si>
  <si>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</si>
  <si>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</si>
  <si>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</si>
  <si>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</si>
  <si>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</si>
  <si>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</si>
  <si>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</si>
  <si>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</si>
  <si>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</si>
  <si>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</si>
  <si>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</si>
  <si>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</si>
  <si>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</si>
  <si>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</si>
  <si>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</si>
  <si>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</si>
  <si>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</si>
  <si>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</si>
  <si>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</si>
  <si>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</si>
  <si>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</si>
  <si>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</si>
  <si>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</si>
  <si>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</si>
  <si>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</si>
  <si>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</si>
  <si>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</si>
  <si>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</si>
  <si>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</si>
  <si>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</si>
  <si>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</si>
  <si>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</si>
  <si>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</si>
  <si>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</si>
  <si>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</si>
  <si>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</si>
  <si>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</si>
  <si>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</si>
  <si>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</si>
  <si>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</si>
  <si>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</si>
  <si>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</si>
  <si>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</si>
  <si>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</si>
  <si>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</si>
  <si>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</si>
  <si>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</si>
  <si>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</si>
  <si>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</si>
  <si>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</si>
  <si>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</si>
  <si>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</si>
  <si>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</si>
  <si>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</si>
  <si>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</si>
  <si>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</si>
  <si>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</si>
  <si>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</si>
  <si>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</si>
  <si>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</si>
  <si>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</si>
  <si>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</si>
  <si>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</si>
  <si>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</si>
  <si>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</si>
  <si>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</si>
  <si>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</si>
  <si>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</si>
  <si>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</si>
  <si>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</si>
  <si>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</si>
  <si>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</si>
  <si>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</si>
  <si>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</si>
  <si>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</si>
  <si>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</si>
  <si>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</si>
  <si>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</si>
  <si>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</si>
  <si>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</si>
  <si>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</si>
  <si>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</si>
  <si>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</si>
  <si>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</si>
  <si>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</si>
  <si>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</si>
  <si>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</si>
  <si>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</si>
  <si>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</si>
  <si>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</si>
  <si>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</si>
  <si>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</si>
  <si>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</si>
  <si>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</si>
  <si>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</si>
  <si>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</si>
  <si>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</si>
  <si>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</si>
  <si>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</si>
  <si>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</si>
  <si>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</si>
  <si>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</si>
  <si>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</si>
  <si>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</si>
  <si>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</si>
  <si>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</si>
  <si>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</si>
  <si>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</si>
  <si>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</si>
  <si>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</si>
  <si>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</si>
  <si>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</si>
  <si>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</si>
  <si>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</si>
  <si>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</si>
  <si>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</si>
  <si>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</si>
  <si>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</si>
  <si>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</si>
  <si>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</si>
  <si>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</si>
  <si>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</si>
  <si>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</si>
  <si>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</si>
  <si>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</si>
  <si>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</si>
  <si>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</si>
  <si>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</si>
  <si>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</si>
  <si>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</si>
  <si>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</si>
  <si>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</si>
  <si>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</si>
  <si>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</si>
  <si>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</si>
  <si>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</si>
  <si>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</si>
  <si>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</si>
  <si>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</si>
  <si>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</si>
  <si>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</si>
  <si>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</si>
  <si>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</si>
  <si>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</si>
  <si>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</si>
  <si>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</si>
  <si>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</si>
  <si>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</si>
  <si>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</si>
  <si>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</si>
  <si>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</si>
  <si>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</si>
  <si>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</si>
  <si>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</si>
  <si>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</si>
  <si>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</si>
  <si>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</si>
  <si>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</si>
  <si>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</si>
  <si>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</si>
  <si>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</si>
  <si>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</si>
  <si>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</si>
  <si>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</si>
  <si>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</si>
  <si>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</si>
  <si>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</si>
  <si>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</si>
  <si>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</si>
  <si>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</si>
  <si>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</si>
  <si>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</si>
  <si>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</si>
  <si>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</si>
  <si>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</si>
  <si>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</si>
  <si>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</si>
  <si>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</si>
  <si>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</si>
  <si>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</si>
  <si>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</si>
  <si>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</si>
  <si>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</si>
  <si>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</si>
  <si>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</si>
  <si>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</si>
  <si>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</si>
  <si>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</si>
  <si>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</si>
  <si>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</si>
  <si>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</si>
  <si>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</si>
  <si>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</si>
  <si>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</si>
  <si>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</si>
  <si>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</si>
  <si>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</si>
  <si>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</si>
  <si>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</si>
  <si>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</si>
  <si>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</si>
  <si>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</si>
  <si>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</si>
  <si>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</si>
  <si>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</si>
  <si>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</si>
  <si>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</si>
  <si>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</si>
  <si>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</si>
  <si>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</si>
  <si>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</si>
  <si>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</si>
  <si>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</si>
  <si>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</si>
  <si>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</si>
  <si>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</si>
  <si>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</si>
  <si>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</si>
  <si>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</si>
  <si>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</si>
  <si>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</si>
  <si>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</si>
  <si>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</si>
  <si>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</si>
  <si>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</si>
  <si>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</si>
  <si>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</si>
  <si>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</si>
  <si>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</si>
  <si>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</si>
  <si>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</si>
  <si>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</si>
  <si>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</si>
  <si>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</si>
  <si>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</si>
  <si>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</si>
  <si>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</si>
  <si>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</si>
  <si>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</si>
  <si>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</si>
  <si>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</si>
  <si>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</si>
  <si>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</si>
  <si>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</si>
  <si>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</si>
  <si>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</si>
  <si>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</si>
  <si>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</si>
  <si>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</si>
  <si>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</si>
  <si>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</si>
  <si>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</si>
  <si>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</si>
  <si>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</si>
  <si>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</si>
  <si>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</si>
  <si>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</si>
  <si>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</si>
  <si>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</si>
  <si>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</si>
  <si>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</si>
  <si>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</si>
  <si>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</si>
  <si>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</si>
  <si>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</si>
  <si>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</si>
  <si>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</si>
  <si>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</si>
  <si>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</si>
  <si>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</si>
  <si>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</si>
  <si>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</si>
  <si>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</si>
  <si>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</si>
  <si>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</si>
  <si>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</si>
  <si>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</si>
  <si>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</si>
  <si>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</si>
  <si>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</si>
  <si>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</si>
  <si>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</si>
  <si>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</si>
  <si>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</si>
  <si>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</si>
  <si>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</si>
  <si>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</si>
  <si>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</si>
  <si>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</si>
  <si>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</si>
  <si>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</si>
  <si>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</si>
  <si>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</si>
  <si>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</si>
  <si>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</si>
  <si>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</si>
  <si>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</si>
  <si>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</si>
  <si>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</si>
  <si>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</si>
  <si>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</si>
  <si>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</si>
  <si>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</si>
  <si>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</si>
  <si>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</si>
  <si>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</si>
  <si>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</si>
  <si>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</si>
  <si>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</si>
  <si>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</si>
  <si>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</si>
  <si>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</si>
  <si>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</si>
  <si>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</si>
  <si>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</si>
  <si>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</si>
  <si>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</si>
  <si>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</si>
  <si>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</si>
  <si>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</si>
  <si>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</si>
  <si>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</si>
  <si>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</si>
  <si>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</si>
  <si>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</si>
  <si>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</si>
  <si>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</si>
  <si>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</si>
  <si>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</si>
  <si>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</si>
  <si>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</si>
  <si>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</si>
  <si>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</si>
  <si>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</si>
  <si>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</si>
  <si>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</si>
  <si>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</si>
  <si>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</si>
  <si>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</si>
  <si>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</si>
  <si>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</si>
  <si>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</si>
  <si>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</si>
  <si>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</si>
  <si>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</si>
  <si>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</si>
  <si>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</si>
  <si>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</si>
  <si>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</si>
  <si>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</si>
  <si>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</si>
  <si>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</si>
  <si>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</si>
  <si>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</si>
  <si>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</si>
  <si>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</si>
  <si>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</si>
  <si>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</si>
  <si>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</si>
  <si>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</si>
  <si>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</si>
  <si>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</si>
  <si>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</si>
  <si>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</si>
  <si>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</si>
  <si>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</si>
  <si>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</si>
  <si>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</si>
  <si>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</si>
  <si>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</si>
  <si>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</si>
  <si>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</si>
  <si>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</si>
  <si>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</si>
  <si>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</si>
  <si>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</si>
  <si>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</si>
  <si>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</si>
  <si>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</si>
  <si>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</si>
  <si>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</si>
  <si>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</si>
  <si>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</si>
  <si>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</si>
  <si>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</si>
  <si>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</si>
  <si>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</si>
  <si>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</si>
  <si>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</si>
  <si>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</si>
  <si>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</si>
  <si>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</si>
  <si>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</si>
  <si>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</si>
  <si>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</si>
  <si>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</si>
  <si>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</si>
  <si>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</si>
  <si>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</si>
  <si>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</si>
  <si>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</si>
  <si>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</si>
  <si>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</si>
  <si>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</si>
  <si>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</si>
  <si>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</si>
  <si>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</si>
  <si>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</si>
  <si>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</si>
  <si>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</si>
  <si>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</si>
  <si>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</si>
  <si>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</si>
  <si>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</si>
  <si>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</si>
  <si>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</si>
  <si>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</si>
  <si>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</si>
  <si>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</si>
  <si>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</si>
  <si>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</si>
  <si>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</si>
  <si>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</si>
  <si>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</si>
  <si>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</si>
  <si>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</si>
  <si>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</si>
  <si>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</si>
  <si>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</si>
  <si>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</si>
  <si>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</si>
  <si>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</si>
  <si>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</si>
  <si>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</si>
  <si>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</si>
  <si>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</si>
  <si>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</si>
  <si>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</si>
  <si>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</si>
  <si>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</si>
  <si>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</si>
  <si>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</si>
  <si>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</si>
  <si>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</si>
  <si>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</si>
  <si>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</si>
  <si>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</si>
  <si>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</si>
  <si>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</si>
  <si>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</si>
  <si>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</si>
  <si>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</si>
  <si>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</si>
  <si>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</si>
  <si>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</si>
  <si>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</si>
  <si>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</si>
  <si>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</si>
  <si>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</si>
  <si>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</si>
  <si>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</si>
  <si>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</si>
  <si>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</si>
  <si>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</si>
  <si>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</si>
  <si>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</si>
  <si>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</si>
  <si>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</si>
  <si>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</si>
  <si>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</si>
  <si>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</si>
  <si>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</si>
  <si>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</si>
  <si>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</si>
  <si>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</si>
  <si>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</si>
  <si>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</si>
  <si>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</si>
  <si>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</si>
  <si>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</si>
  <si>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</si>
  <si>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</si>
  <si>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</si>
  <si>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</si>
  <si>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</si>
  <si>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</si>
  <si>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</si>
  <si>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</si>
  <si>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</si>
  <si>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</si>
  <si>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</si>
  <si>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</si>
  <si>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</si>
  <si>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</si>
  <si>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</si>
  <si>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</si>
  <si>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</si>
  <si>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</si>
  <si>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</si>
  <si>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</si>
  <si>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</si>
  <si>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</si>
  <si>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</si>
  <si>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</si>
  <si>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</si>
  <si>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</si>
  <si>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</si>
  <si>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</si>
  <si>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</si>
  <si>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</si>
  <si>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</si>
  <si>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</si>
  <si>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</si>
  <si>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</si>
  <si>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</si>
  <si>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</si>
  <si>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</si>
  <si>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</si>
  <si>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</si>
  <si>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</si>
  <si>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</si>
  <si>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</si>
  <si>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</si>
  <si>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</si>
  <si>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</si>
  <si>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</si>
  <si>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</si>
  <si>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</si>
  <si>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</si>
  <si>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</si>
  <si>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</si>
  <si>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</si>
  <si>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</si>
  <si>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</si>
  <si>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</si>
  <si>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</si>
  <si>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</si>
  <si>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</si>
  <si>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</si>
  <si>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</si>
  <si>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</si>
  <si>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</si>
  <si>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</si>
  <si>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</si>
  <si>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</si>
  <si>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</si>
  <si>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</si>
  <si>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</si>
  <si>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</si>
  <si>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</si>
  <si>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</si>
  <si>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</si>
  <si>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</si>
  <si>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</si>
  <si>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</si>
  <si>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</si>
  <si>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</si>
  <si>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</si>
  <si>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</si>
  <si>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</si>
  <si>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</si>
  <si>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</si>
  <si>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</si>
  <si>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</si>
  <si>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</si>
  <si>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</si>
  <si>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</si>
  <si>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</si>
  <si>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</si>
  <si>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</si>
  <si>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</si>
  <si>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</si>
  <si>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</si>
  <si>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</si>
  <si>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</si>
  <si>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</si>
  <si>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</si>
  <si>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</si>
  <si>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</si>
  <si>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</si>
  <si>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</si>
  <si>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</si>
  <si>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</si>
  <si>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</si>
  <si>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</si>
  <si>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</si>
  <si>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</si>
  <si>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</si>
  <si>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</si>
  <si>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</si>
  <si>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</si>
  <si>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</si>
  <si>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</si>
  <si>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</si>
  <si>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</si>
  <si>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</si>
  <si>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</si>
  <si>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</si>
  <si>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</si>
  <si>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</si>
  <si>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</si>
  <si>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</si>
  <si>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</si>
  <si>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</si>
  <si>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</si>
  <si>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</si>
  <si>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</si>
  <si>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</si>
  <si>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</si>
  <si>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</si>
  <si>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</si>
  <si>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</si>
  <si>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</si>
  <si>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</si>
  <si>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</si>
  <si>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</si>
  <si>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</si>
  <si>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</si>
  <si>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</si>
  <si>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</si>
  <si>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</si>
  <si>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</si>
  <si>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</si>
  <si>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</si>
  <si>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</si>
  <si>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</si>
  <si>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</si>
  <si>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</si>
  <si>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</si>
  <si>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</si>
  <si>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</si>
  <si>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</si>
  <si>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</si>
  <si>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</si>
  <si>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</si>
  <si>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</si>
  <si>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</si>
  <si>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</si>
  <si>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</si>
  <si>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</si>
  <si>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</si>
  <si>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</si>
  <si>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</si>
  <si>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</si>
  <si>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</si>
  <si>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</si>
  <si>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</si>
  <si>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</si>
  <si>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</si>
  <si>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</si>
  <si>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</si>
  <si>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</si>
  <si>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</si>
  <si>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</si>
  <si>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</si>
  <si>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</si>
  <si>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</si>
  <si>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</si>
  <si>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</si>
  <si>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</si>
  <si>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</si>
  <si>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</si>
  <si>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</si>
  <si>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</si>
  <si>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</si>
  <si>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</si>
  <si>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</si>
  <si>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</si>
  <si>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</si>
  <si>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</si>
  <si>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</si>
  <si>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</si>
  <si>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</si>
  <si>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</si>
  <si>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</si>
  <si>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</si>
  <si>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</si>
  <si>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</si>
  <si>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</si>
  <si>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</si>
  <si>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</si>
  <si>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</si>
  <si>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</si>
  <si>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</si>
  <si>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</si>
  <si>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</si>
  <si>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</si>
  <si>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</si>
  <si>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</si>
  <si>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</si>
  <si>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</si>
  <si>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</si>
  <si>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</si>
  <si>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</si>
  <si>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</si>
  <si>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</si>
  <si>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</si>
  <si>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</si>
  <si>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</si>
  <si>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</si>
  <si>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</si>
  <si>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</si>
  <si>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</si>
  <si>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</si>
  <si>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</si>
  <si>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</si>
  <si>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</si>
  <si>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</si>
  <si>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</si>
  <si>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</si>
  <si>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</si>
  <si>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</si>
  <si>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</si>
  <si>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</si>
  <si>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</si>
  <si>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</si>
  <si>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</si>
  <si>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</si>
  <si>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</si>
  <si>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</si>
  <si>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</si>
  <si>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</si>
  <si>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</si>
  <si>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</si>
  <si>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</si>
  <si>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</si>
  <si>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</si>
  <si>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</si>
  <si>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</si>
  <si>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</si>
  <si>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</si>
  <si>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</si>
  <si>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</si>
  <si>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</si>
  <si>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</si>
  <si>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</si>
  <si>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</si>
  <si>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</si>
  <si>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</si>
  <si>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</si>
  <si>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</si>
  <si>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</si>
  <si>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</si>
  <si>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</si>
  <si>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</si>
  <si>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</si>
  <si>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</si>
  <si>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</si>
  <si>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</si>
  <si>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</si>
  <si>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</si>
  <si>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</si>
  <si>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</si>
  <si>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</si>
  <si>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</si>
  <si>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</si>
  <si>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</si>
  <si>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</si>
  <si>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</si>
  <si>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</si>
  <si>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</si>
  <si>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</si>
  <si>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</si>
  <si>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</si>
  <si>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</si>
  <si>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</si>
  <si>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</si>
  <si>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</si>
  <si>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</si>
  <si>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</si>
  <si>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</si>
  <si>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</si>
  <si>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</si>
  <si>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</si>
  <si>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</si>
  <si>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</si>
  <si>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</si>
  <si>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</si>
  <si>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</si>
  <si>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</si>
  <si>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</si>
  <si>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</si>
  <si>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</si>
  <si>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</si>
  <si>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</si>
  <si>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</si>
  <si>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</si>
  <si>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</si>
  <si>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</si>
  <si>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</si>
  <si>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</si>
  <si>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</si>
  <si>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</si>
  <si>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</si>
  <si>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</si>
  <si>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</si>
  <si>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</si>
  <si>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</si>
  <si>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</si>
  <si>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</si>
  <si>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</si>
  <si>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</si>
  <si>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</si>
  <si>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</si>
  <si>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</si>
  <si>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</si>
  <si>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</si>
  <si>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</si>
  <si>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</si>
  <si>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</si>
  <si>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</si>
  <si>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</si>
  <si>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</si>
  <si>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</si>
  <si>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</si>
  <si>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</si>
  <si>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</si>
  <si>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</si>
  <si>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</si>
  <si>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</si>
  <si>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</si>
  <si>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</si>
  <si>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</si>
  <si>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</si>
  <si>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</si>
  <si>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</si>
  <si>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</si>
  <si>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</si>
  <si>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</si>
  <si>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</si>
  <si>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</si>
  <si>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</si>
  <si>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</si>
  <si>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</si>
  <si>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</si>
  <si>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</si>
  <si>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</si>
  <si>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</si>
  <si>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</si>
  <si>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</si>
  <si>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</si>
  <si>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</si>
  <si>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</si>
  <si>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</si>
  <si>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</si>
  <si>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</si>
  <si>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</si>
  <si>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</si>
  <si>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</si>
  <si>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</si>
  <si>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</si>
  <si>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</si>
  <si>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</si>
  <si>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</si>
  <si>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</si>
  <si>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</si>
  <si>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</si>
  <si>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</si>
  <si>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</si>
  <si>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</si>
  <si>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</si>
  <si>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</si>
  <si>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</si>
  <si>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</si>
  <si>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</si>
  <si>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</si>
  <si>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</si>
  <si>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</si>
  <si>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</si>
  <si>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</si>
  <si>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</si>
  <si>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</si>
  <si>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</si>
  <si>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</si>
  <si>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</si>
  <si>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</si>
  <si>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</si>
  <si>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</si>
  <si>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</si>
  <si>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</si>
  <si>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</si>
  <si>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</si>
  <si>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</si>
  <si>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</si>
  <si>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</si>
  <si>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</si>
  <si>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</si>
  <si>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</si>
  <si>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</si>
  <si>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</si>
  <si>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</si>
  <si>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</si>
  <si>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</si>
  <si>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</si>
  <si>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</si>
  <si>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</si>
  <si>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</si>
  <si>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</si>
  <si>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</si>
  <si>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</si>
  <si>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</si>
  <si>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</si>
  <si>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</si>
  <si>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</si>
  <si>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</si>
  <si>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</si>
  <si>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</si>
  <si>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</si>
  <si>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</si>
  <si>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</si>
  <si>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</si>
  <si>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</si>
  <si>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</si>
  <si>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</si>
  <si>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</si>
  <si>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</si>
  <si>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</si>
  <si>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</si>
  <si>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</si>
  <si>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</si>
  <si>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</si>
  <si>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</si>
  <si>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</si>
  <si>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</si>
  <si>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</si>
  <si>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</si>
  <si>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</si>
  <si>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</si>
  <si>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</si>
  <si>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</si>
  <si>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</si>
  <si>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</si>
  <si>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</si>
  <si>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</si>
  <si>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</si>
  <si>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</si>
  <si>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</si>
  <si>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</si>
  <si>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</si>
  <si>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</si>
  <si>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</si>
  <si>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</si>
  <si>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</si>
  <si>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</si>
  <si>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</si>
  <si>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</si>
  <si>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</si>
  <si>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</si>
  <si>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</si>
  <si>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</si>
  <si>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</si>
  <si>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</si>
  <si>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</si>
  <si>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</si>
  <si>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</si>
  <si>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</si>
  <si>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</si>
  <si>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</si>
  <si>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</si>
  <si>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</si>
  <si>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</si>
  <si>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</si>
  <si>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</si>
  <si>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</si>
  <si>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</si>
  <si>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</si>
  <si>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</si>
  <si>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</si>
  <si>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</si>
  <si>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</si>
  <si>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</si>
  <si>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</si>
  <si>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</si>
  <si>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</si>
  <si>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</si>
  <si>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</si>
  <si>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</si>
  <si>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</si>
  <si>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</si>
  <si>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</si>
  <si>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</si>
  <si>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</si>
  <si>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</si>
  <si>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</si>
  <si>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</si>
  <si>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</si>
  <si>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</si>
  <si>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</si>
  <si>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</si>
  <si>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</si>
  <si>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</si>
  <si>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</si>
  <si>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</si>
  <si>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</si>
  <si>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</si>
  <si>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</si>
  <si>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</si>
  <si>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</si>
  <si>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</si>
  <si>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</si>
  <si>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</si>
  <si>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</si>
  <si>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</si>
  <si>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</si>
  <si>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</si>
  <si>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</si>
  <si>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</si>
  <si>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</si>
  <si>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</si>
  <si>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</si>
  <si>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</si>
  <si>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</si>
  <si>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</si>
  <si>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</si>
  <si>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</si>
  <si>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</si>
  <si>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</si>
  <si>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</si>
  <si>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</si>
  <si>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</si>
  <si>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</si>
  <si>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</si>
  <si>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</si>
  <si>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</si>
  <si>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</si>
  <si>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</si>
  <si>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</si>
  <si>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</si>
  <si>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</si>
  <si>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</si>
  <si>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</si>
  <si>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</si>
  <si>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</si>
  <si>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</si>
  <si>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</si>
  <si>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</si>
  <si>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</si>
  <si>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</si>
  <si>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</si>
  <si>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</si>
  <si>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</si>
  <si>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</si>
  <si>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</si>
  <si>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</si>
  <si>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</si>
  <si>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</si>
  <si>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</si>
  <si>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</si>
  <si>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</si>
  <si>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</si>
  <si>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</si>
  <si>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</si>
  <si>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</si>
  <si>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</si>
  <si>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</si>
  <si>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</si>
  <si>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</si>
  <si>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</si>
  <si>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</si>
  <si>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</si>
  <si>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</si>
  <si>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</si>
  <si>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</si>
  <si>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</si>
  <si>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</si>
  <si>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</si>
  <si>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</si>
  <si>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</si>
  <si>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</si>
  <si>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</si>
  <si>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</si>
  <si>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</si>
  <si>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</si>
  <si>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</si>
  <si>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</si>
  <si>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</si>
  <si>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</si>
  <si>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</si>
  <si>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</si>
  <si>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</si>
  <si>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</si>
  <si>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</si>
  <si>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</si>
  <si>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</si>
  <si>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</si>
  <si>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</si>
  <si>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</si>
  <si>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</si>
  <si>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</si>
  <si>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</si>
  <si>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</si>
  <si>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</si>
  <si>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</si>
  <si>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</si>
  <si>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</si>
  <si>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</si>
  <si>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</si>
  <si>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</si>
  <si>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</si>
  <si>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</si>
  <si>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</si>
  <si>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</si>
  <si>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</si>
  <si>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</si>
  <si>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</si>
  <si>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</si>
  <si>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</si>
  <si>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</si>
  <si>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</si>
  <si>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</si>
  <si>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</si>
  <si>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</si>
  <si>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</si>
  <si>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</si>
  <si>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</si>
  <si>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</si>
  <si>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</si>
  <si>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</si>
  <si>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</si>
  <si>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</si>
  <si>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</si>
  <si>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</si>
  <si>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</si>
  <si>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</si>
  <si>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</si>
  <si>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</si>
  <si>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</si>
  <si>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</si>
  <si>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</si>
  <si>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</si>
  <si>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</si>
  <si>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</si>
  <si>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</si>
  <si>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</si>
  <si>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</si>
  <si>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</si>
  <si>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</si>
  <si>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</si>
  <si>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</si>
  <si>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</si>
  <si>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</si>
  <si>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</si>
  <si>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</si>
  <si>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</si>
  <si>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</si>
  <si>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</si>
  <si>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</si>
  <si>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</si>
  <si>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</si>
  <si>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</si>
  <si>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</si>
  <si>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</si>
  <si>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</si>
  <si>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</si>
  <si>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</si>
  <si>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</si>
  <si>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</si>
  <si>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</si>
  <si>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</si>
  <si>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</si>
  <si>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</si>
  <si>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</si>
  <si>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</si>
  <si>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</si>
  <si>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</si>
  <si>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</si>
  <si>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</si>
  <si>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</si>
  <si>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</si>
  <si>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</si>
  <si>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</si>
  <si>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</si>
  <si>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</si>
  <si>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</si>
  <si>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</si>
  <si>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</si>
  <si>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</si>
  <si>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</si>
  <si>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</si>
  <si>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</si>
  <si>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</si>
  <si>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</si>
  <si>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</si>
  <si>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</si>
  <si>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</si>
  <si>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</si>
  <si>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</si>
  <si>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</si>
  <si>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</si>
  <si>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</si>
  <si>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</si>
  <si>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</si>
  <si>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</si>
  <si>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</si>
  <si>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</si>
  <si>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</si>
  <si>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</si>
  <si>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</si>
  <si>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</si>
  <si>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</si>
  <si>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</si>
  <si>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</si>
  <si>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</si>
  <si>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</si>
  <si>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</si>
  <si>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</si>
  <si>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</si>
  <si>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</si>
  <si>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</si>
  <si>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</si>
  <si>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</si>
  <si>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</si>
  <si>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</si>
  <si>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</si>
  <si>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</si>
  <si>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</si>
  <si>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</si>
  <si>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</si>
  <si>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</si>
  <si>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</si>
  <si>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</si>
  <si>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</si>
  <si>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</si>
  <si>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</si>
  <si>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</si>
  <si>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</si>
  <si>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</si>
  <si>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</si>
  <si>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</si>
  <si>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</si>
  <si>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</si>
  <si>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</si>
  <si>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</si>
  <si>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</si>
  <si>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</si>
  <si>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</si>
  <si>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</si>
  <si>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</si>
  <si>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</si>
  <si>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</si>
  <si>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</si>
  <si>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</si>
  <si>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</si>
  <si>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</si>
  <si>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</si>
  <si>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</si>
  <si>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</si>
  <si>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</si>
  <si>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</si>
  <si>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</si>
  <si>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</si>
  <si>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</si>
  <si>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</si>
  <si>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</si>
  <si>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</si>
  <si>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</si>
  <si>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</si>
  <si>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</si>
  <si>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</si>
  <si>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</si>
  <si>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</si>
  <si>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</si>
  <si>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</si>
  <si>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</si>
  <si>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</si>
  <si>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</si>
  <si>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</si>
  <si>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</si>
  <si>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</si>
  <si>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</si>
  <si>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</si>
  <si>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</si>
  <si>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</si>
  <si>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</si>
  <si>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</si>
  <si>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</si>
  <si>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</si>
  <si>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</si>
  <si>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</si>
  <si>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</si>
  <si>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</si>
  <si>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</si>
  <si>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</si>
  <si>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</si>
  <si>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</si>
  <si>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</si>
  <si>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</si>
  <si>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</si>
  <si>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</si>
  <si>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</si>
  <si>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</si>
  <si>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</si>
  <si>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</si>
  <si>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</si>
  <si>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</si>
  <si>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</si>
  <si>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</si>
  <si>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</si>
  <si>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</si>
  <si>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</si>
  <si>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</si>
  <si>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</si>
  <si>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</si>
  <si>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</si>
  <si>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</si>
  <si>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</si>
  <si>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</si>
  <si>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</si>
  <si>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</si>
  <si>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</si>
  <si>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</si>
  <si>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</si>
  <si>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</si>
  <si>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</si>
  <si>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</si>
  <si>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</si>
  <si>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</si>
  <si>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</si>
  <si>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</si>
  <si>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</si>
  <si>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</si>
  <si>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</si>
  <si>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</si>
  <si>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</si>
  <si>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</si>
  <si>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</si>
  <si>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</si>
  <si>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</si>
  <si>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</si>
  <si>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</si>
  <si>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</si>
  <si>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</si>
  <si>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</si>
  <si>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</si>
  <si>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</si>
  <si>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</si>
  <si>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</si>
  <si>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</si>
  <si>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</si>
  <si>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</si>
  <si>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</si>
  <si>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</si>
  <si>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</si>
  <si>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</si>
  <si>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</si>
  <si>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</si>
  <si>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</si>
  <si>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</si>
  <si>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</si>
  <si>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</si>
  <si>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</si>
  <si>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</si>
  <si>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</si>
  <si>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</si>
  <si>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</si>
  <si>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</si>
  <si>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</si>
  <si>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</si>
  <si>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</si>
  <si>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</si>
  <si>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</si>
  <si>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</si>
  <si>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</si>
  <si>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</si>
  <si>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</si>
  <si>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</si>
  <si>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</si>
  <si>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</si>
  <si>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</si>
  <si>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</si>
  <si>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</si>
  <si>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</si>
  <si>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</si>
  <si>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</si>
  <si>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</si>
  <si>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</si>
  <si>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</si>
  <si>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</si>
  <si>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</si>
  <si>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</si>
  <si>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</si>
  <si>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</si>
  <si>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</si>
  <si>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</si>
  <si>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</si>
  <si>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</si>
  <si>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</si>
  <si>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</si>
  <si>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</si>
  <si>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</si>
  <si>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</si>
  <si>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</si>
  <si>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</si>
  <si>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</si>
  <si>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</si>
  <si>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</si>
  <si>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</si>
  <si>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</si>
  <si>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</si>
  <si>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</si>
  <si>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</si>
  <si>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</si>
  <si>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</si>
  <si>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</si>
  <si>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</si>
  <si>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</si>
  <si>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</si>
  <si>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</si>
  <si>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</si>
  <si>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</si>
  <si>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</si>
  <si>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</si>
  <si>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</si>
  <si>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</si>
  <si>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</si>
  <si>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</si>
  <si>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</si>
  <si>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</si>
  <si>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</si>
  <si>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</si>
  <si>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</si>
  <si>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</si>
  <si>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</si>
  <si>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</si>
  <si>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</si>
  <si>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</si>
  <si>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</si>
  <si>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</si>
  <si>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</si>
  <si>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</si>
  <si>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</si>
  <si>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</si>
  <si>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</si>
  <si>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</si>
  <si>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</si>
  <si>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</si>
  <si>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</si>
  <si>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</si>
  <si>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</si>
  <si>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</si>
  <si>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</si>
  <si>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</si>
  <si>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</si>
  <si>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</si>
  <si>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</si>
  <si>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</si>
  <si>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</si>
  <si>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</si>
  <si>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</si>
  <si>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</si>
  <si>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</si>
  <si>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</si>
  <si>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</si>
  <si>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</si>
  <si>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</si>
  <si>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</si>
  <si>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</si>
  <si>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</si>
  <si>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</si>
  <si>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</si>
  <si>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</si>
  <si>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</si>
  <si>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</si>
  <si>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</si>
  <si>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</si>
  <si>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</si>
  <si>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</si>
  <si>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</si>
  <si>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</si>
  <si>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</si>
  <si>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</si>
  <si>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</si>
  <si>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</si>
  <si>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</si>
  <si>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</si>
  <si>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</si>
  <si>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</si>
  <si>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</si>
  <si>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</si>
  <si>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</si>
  <si>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</si>
  <si>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</si>
  <si>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</si>
  <si>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</si>
  <si>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</si>
  <si>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</si>
  <si>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</si>
  <si>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</si>
  <si>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</si>
  <si>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</si>
  <si>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</si>
  <si>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</si>
  <si>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</si>
  <si>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</si>
  <si>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</si>
  <si>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</si>
  <si>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</si>
  <si>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</si>
  <si>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</si>
  <si>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</si>
  <si>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</si>
  <si>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</si>
  <si>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</si>
  <si>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</si>
  <si>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</si>
  <si>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</si>
  <si>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</si>
  <si>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</si>
  <si>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</si>
  <si>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</si>
  <si>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</si>
  <si>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</si>
  <si>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</si>
  <si>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</si>
  <si>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</si>
  <si>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</si>
  <si>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</si>
  <si>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</si>
  <si>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</si>
  <si>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</si>
  <si>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</si>
  <si>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</si>
  <si>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</si>
  <si>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</si>
  <si>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</si>
  <si>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</si>
  <si>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</si>
  <si>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</si>
  <si>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</si>
  <si>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</si>
  <si>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</si>
  <si>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</si>
  <si>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</si>
  <si>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</si>
  <si>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</si>
  <si>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</si>
  <si>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</si>
  <si>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</si>
  <si>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</si>
  <si>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</si>
  <si>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</si>
  <si>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</si>
  <si>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</si>
  <si>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</si>
  <si>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</si>
  <si>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</si>
  <si>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</si>
  <si>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</si>
  <si>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</si>
  <si>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</si>
  <si>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</si>
  <si>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</si>
  <si>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</si>
  <si>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</si>
  <si>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</si>
  <si>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</si>
  <si>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</si>
  <si>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</si>
  <si>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</si>
  <si>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</si>
  <si>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</si>
  <si>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</si>
  <si>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</si>
  <si>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</si>
  <si>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</si>
  <si>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</si>
  <si>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</si>
  <si>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</si>
  <si>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</si>
  <si>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</si>
  <si>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</si>
  <si>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</si>
  <si>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</si>
  <si>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</si>
  <si>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</si>
  <si>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</si>
  <si>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</si>
  <si>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</si>
  <si>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</si>
  <si>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</si>
  <si>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</si>
  <si>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</si>
  <si>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</si>
  <si>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</si>
  <si>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</si>
  <si>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</si>
  <si>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</si>
  <si>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</si>
  <si>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</si>
  <si>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</si>
  <si>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</si>
  <si>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</si>
  <si>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</si>
  <si>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</si>
  <si>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</si>
  <si>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</si>
  <si>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</si>
  <si>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</si>
  <si>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</si>
  <si>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</si>
  <si>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</si>
  <si>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</si>
  <si>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</si>
  <si>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</si>
  <si>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</si>
  <si>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</si>
  <si>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</si>
  <si>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</si>
  <si>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</si>
  <si>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</si>
  <si>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</si>
  <si>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</si>
  <si>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</si>
  <si>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</si>
  <si>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</si>
  <si>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</si>
  <si>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</si>
  <si>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</si>
  <si>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</si>
  <si>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</si>
  <si>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</si>
  <si>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</si>
  <si>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</si>
  <si>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</si>
  <si>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</si>
  <si>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</si>
  <si>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</si>
  <si>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</si>
  <si>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</si>
  <si>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</si>
  <si>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</si>
  <si>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</si>
  <si>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</si>
  <si>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</si>
  <si>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</si>
  <si>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</si>
  <si>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</si>
  <si>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</si>
  <si>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</si>
  <si>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</si>
  <si>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</si>
  <si>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</si>
  <si>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</si>
  <si>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</si>
  <si>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</si>
  <si>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</si>
  <si>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</si>
  <si>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</si>
  <si>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</si>
  <si>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</si>
  <si>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</si>
  <si>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</si>
  <si>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</si>
  <si>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</si>
  <si>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</si>
  <si>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</si>
  <si>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</si>
  <si>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</si>
  <si>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</si>
  <si>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</si>
  <si>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</si>
  <si>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</si>
  <si>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</si>
  <si>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</si>
  <si>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</si>
  <si>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</si>
  <si>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</si>
  <si>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</si>
  <si>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</si>
  <si>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</si>
  <si>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</si>
  <si>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</si>
  <si>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</si>
  <si>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</si>
  <si>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</si>
  <si>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</si>
  <si>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</si>
  <si>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</si>
  <si>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</si>
  <si>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</si>
  <si>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</si>
  <si>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</si>
  <si>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</si>
  <si>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</si>
  <si>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</si>
  <si>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</si>
  <si>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</si>
  <si>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</si>
  <si>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</si>
  <si>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</si>
  <si>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</si>
  <si>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</si>
  <si>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</si>
  <si>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</si>
  <si>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</si>
  <si>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</si>
  <si>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</si>
  <si>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</si>
  <si>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</si>
  <si>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</si>
  <si>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</si>
  <si>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</si>
  <si>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</si>
  <si>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</si>
  <si>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</si>
  <si>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</si>
  <si>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</si>
  <si>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</si>
  <si>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</si>
  <si>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</si>
  <si>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</si>
  <si>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</si>
  <si>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</si>
  <si>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</si>
  <si>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</si>
  <si>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</si>
  <si>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</si>
  <si>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</si>
  <si>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</si>
  <si>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</si>
  <si>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</si>
  <si>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</si>
  <si>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</si>
  <si>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</si>
  <si>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</si>
  <si>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</si>
  <si>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</si>
  <si>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</si>
  <si>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</si>
  <si>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</si>
  <si>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</si>
  <si>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</si>
  <si>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</si>
  <si>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</si>
  <si>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</si>
  <si>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</si>
  <si>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</si>
  <si>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</si>
  <si>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</si>
  <si>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</si>
  <si>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</si>
  <si>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</si>
  <si>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</si>
  <si>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</si>
  <si>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</si>
  <si>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</si>
  <si>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</si>
  <si>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</si>
  <si>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</si>
  <si>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</si>
  <si>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</si>
  <si>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</si>
  <si>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</si>
  <si>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</si>
  <si>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</si>
  <si>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</si>
  <si>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</si>
  <si>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</si>
  <si>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</si>
  <si>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</si>
  <si>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</si>
  <si>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</si>
  <si>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</si>
  <si>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</si>
  <si>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</si>
  <si>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</si>
  <si>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</si>
  <si>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</si>
  <si>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</si>
  <si>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</si>
  <si>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</si>
  <si>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</si>
  <si>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</si>
  <si>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</si>
  <si>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</si>
  <si>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</si>
  <si>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</si>
  <si>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</si>
  <si>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</si>
  <si>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</si>
  <si>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</si>
  <si>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</si>
  <si>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</si>
  <si>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</si>
  <si>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</si>
  <si>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</si>
  <si>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</si>
  <si>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</si>
  <si>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</si>
  <si>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</si>
  <si>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</si>
  <si>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</si>
  <si>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</si>
  <si>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</si>
  <si>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</si>
  <si>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</si>
  <si>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</si>
  <si>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</si>
  <si>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</si>
  <si>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</si>
  <si>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</si>
  <si>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</si>
  <si>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</si>
  <si>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</si>
  <si>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</si>
  <si>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</si>
  <si>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</si>
  <si>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</si>
  <si>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</si>
  <si>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</si>
  <si>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</si>
  <si>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</si>
  <si>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</si>
  <si>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</si>
  <si>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</si>
  <si>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</si>
  <si>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</si>
  <si>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</si>
  <si>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</si>
  <si>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</si>
  <si>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</si>
  <si>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</si>
  <si>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</si>
  <si>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</si>
  <si>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</si>
  <si>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</si>
  <si>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</si>
  <si>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</si>
  <si>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</si>
  <si>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</si>
  <si>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</si>
  <si>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</si>
  <si>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</si>
  <si>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</si>
  <si>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</si>
  <si>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</si>
  <si>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</si>
  <si>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</si>
  <si>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</si>
  <si>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</si>
  <si>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</si>
  <si>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</si>
  <si>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</si>
  <si>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</si>
  <si>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</si>
  <si>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</si>
  <si>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</si>
  <si>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</si>
  <si>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</si>
  <si>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</si>
  <si>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</si>
  <si>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</si>
  <si>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</si>
  <si>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</si>
  <si>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</si>
  <si>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</si>
  <si>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</si>
  <si>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</si>
  <si>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</si>
  <si>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</si>
  <si>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</si>
  <si>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</si>
  <si>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</si>
  <si>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</si>
  <si>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</si>
  <si>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</si>
  <si>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</si>
  <si>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</si>
  <si>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</si>
  <si>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</si>
  <si>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</si>
  <si>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</si>
  <si>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</si>
  <si>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</si>
  <si>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</si>
  <si>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</si>
  <si>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</si>
  <si>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</si>
  <si>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</si>
  <si>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</si>
  <si>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</si>
  <si>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</si>
  <si>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</si>
  <si>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</si>
  <si>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</si>
  <si>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</si>
  <si>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</si>
  <si>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</si>
  <si>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</si>
  <si>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</si>
  <si>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</si>
  <si>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</si>
  <si>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</si>
  <si>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</si>
  <si>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</si>
  <si>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</si>
  <si>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</si>
  <si>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</si>
  <si>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</si>
  <si>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</si>
  <si>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</si>
  <si>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</si>
  <si>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</si>
  <si>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</si>
  <si>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</si>
  <si>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</si>
  <si>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</si>
  <si>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</si>
  <si>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</si>
  <si>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</si>
  <si>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</si>
  <si>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</si>
  <si>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</si>
  <si>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</si>
  <si>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</si>
  <si>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</si>
  <si>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</si>
  <si>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</si>
  <si>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</si>
  <si>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</si>
  <si>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</si>
  <si>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</si>
  <si>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</si>
  <si>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</si>
  <si>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</si>
  <si>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</si>
  <si>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</si>
  <si>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</si>
  <si>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</si>
  <si>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</si>
  <si>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</si>
  <si>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</si>
  <si>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</si>
  <si>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</si>
  <si>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</si>
  <si>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</si>
  <si>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</si>
  <si>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</si>
  <si>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</si>
  <si>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</si>
  <si>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</si>
  <si>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</si>
  <si>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</si>
  <si>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</si>
  <si>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</si>
  <si>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</si>
  <si>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</si>
  <si>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</si>
  <si>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</si>
  <si>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</si>
  <si>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</si>
  <si>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</si>
  <si>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</si>
  <si>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</si>
  <si>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</si>
  <si>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</si>
  <si>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</si>
  <si>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</si>
  <si>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</si>
  <si>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</si>
  <si>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</si>
  <si>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</si>
  <si>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</si>
  <si>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</si>
  <si>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</si>
  <si>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</si>
  <si>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</si>
  <si>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</si>
  <si>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</si>
  <si>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</si>
  <si>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</si>
  <si>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</si>
  <si>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</si>
  <si>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</si>
  <si>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</si>
  <si>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</si>
  <si>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</si>
  <si>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</si>
  <si>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</si>
  <si>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</si>
  <si>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</si>
  <si>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</si>
  <si>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</si>
  <si>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</si>
  <si>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</si>
  <si>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</si>
  <si>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</si>
  <si>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</si>
  <si>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</si>
  <si>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</si>
  <si>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</si>
  <si>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</si>
  <si>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</si>
  <si>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</si>
  <si>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</si>
  <si>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</si>
  <si>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</si>
  <si>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</si>
  <si>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</si>
  <si>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</si>
  <si>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</si>
  <si>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</si>
  <si>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</si>
  <si>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</si>
  <si>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</si>
  <si>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</si>
  <si>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</si>
  <si>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</si>
  <si>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</si>
  <si>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</si>
  <si>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</si>
  <si>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</si>
  <si>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</si>
  <si>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</si>
  <si>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</si>
  <si>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</si>
  <si>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</si>
  <si>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</si>
  <si>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</si>
  <si>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</si>
  <si>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</si>
  <si>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</si>
  <si>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</si>
  <si>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</si>
  <si>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</si>
  <si>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</si>
  <si>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</si>
  <si>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</si>
  <si>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</si>
  <si>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</si>
  <si>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</si>
  <si>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</si>
  <si>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</si>
  <si>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</si>
  <si>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</si>
  <si>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</si>
  <si>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</si>
  <si>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</si>
  <si>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</si>
  <si>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</si>
  <si>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</si>
  <si>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</si>
  <si>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</si>
  <si>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</si>
  <si>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</si>
  <si>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</si>
  <si>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</si>
  <si>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</si>
  <si>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</si>
  <si>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</si>
  <si>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</si>
  <si>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</si>
  <si>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</si>
  <si>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</si>
  <si>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</si>
  <si>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</si>
  <si>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</si>
  <si>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</si>
  <si>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</si>
  <si>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</si>
  <si>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</si>
  <si>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</si>
  <si>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</si>
  <si>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</si>
  <si>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</si>
  <si>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</si>
  <si>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</si>
  <si>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</si>
  <si>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</si>
  <si>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</si>
  <si>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</si>
  <si>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</si>
  <si>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</si>
  <si>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</si>
  <si>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</si>
  <si>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</si>
  <si>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</si>
  <si>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</si>
  <si>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</si>
  <si>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</si>
  <si>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</si>
  <si>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</si>
  <si>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</si>
  <si>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</si>
  <si>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</si>
  <si>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</si>
  <si>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</si>
  <si>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</si>
  <si>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</si>
  <si>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</si>
  <si>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</si>
  <si>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</si>
  <si>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</si>
  <si>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</si>
  <si>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</si>
  <si>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</si>
  <si>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</si>
  <si>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</si>
  <si>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</si>
  <si>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</si>
  <si>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</si>
  <si>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</si>
  <si>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</si>
  <si>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</si>
  <si>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</si>
  <si>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</si>
  <si>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</si>
  <si>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</si>
  <si>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</si>
  <si>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</si>
  <si>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</si>
  <si>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</si>
  <si>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</si>
  <si>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</si>
  <si>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</si>
  <si>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</si>
  <si>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</si>
  <si>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</si>
  <si>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</si>
  <si>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</si>
  <si>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</si>
  <si>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</si>
  <si>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</si>
  <si>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</si>
  <si>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</si>
  <si>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</si>
  <si>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</si>
  <si>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</si>
  <si>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</si>
  <si>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</si>
  <si>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</si>
  <si>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</si>
  <si>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</si>
  <si>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</si>
  <si>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</si>
  <si>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</si>
  <si>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</si>
  <si>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</si>
  <si>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</si>
  <si>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</si>
  <si>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</si>
  <si>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</si>
  <si>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</si>
  <si>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</si>
  <si>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</si>
  <si>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</si>
  <si>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</si>
  <si>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</si>
  <si>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</si>
  <si>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</si>
  <si>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</si>
  <si>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</si>
  <si>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</si>
  <si>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</si>
  <si>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</si>
  <si>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</si>
  <si>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</si>
  <si>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</si>
  <si>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</si>
  <si>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</si>
  <si>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</si>
  <si>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</si>
  <si>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</si>
  <si>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</si>
  <si>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</si>
  <si>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</si>
  <si>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</si>
  <si>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</si>
  <si>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</si>
  <si>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</si>
  <si>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</si>
  <si>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</si>
  <si>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</si>
  <si>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</si>
  <si>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</si>
  <si>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</si>
  <si>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</si>
  <si>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</si>
  <si>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</si>
  <si>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</si>
  <si>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</si>
  <si>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</si>
  <si>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</si>
  <si>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</si>
  <si>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</si>
  <si>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</si>
  <si>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</si>
  <si>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</si>
  <si>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</si>
  <si>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</si>
  <si>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</si>
  <si>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</si>
  <si>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</si>
  <si>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</si>
  <si>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</si>
  <si>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</si>
  <si>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</si>
  <si>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</si>
  <si>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</si>
  <si>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</si>
  <si>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</si>
  <si>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</si>
  <si>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</si>
  <si>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</si>
  <si>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</si>
  <si>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</si>
  <si>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</si>
  <si>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</si>
  <si>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</si>
  <si>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</si>
  <si>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</si>
  <si>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</si>
  <si>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</si>
  <si>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</si>
  <si>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</si>
  <si>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</si>
  <si>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</si>
  <si>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</si>
  <si>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</si>
  <si>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</si>
  <si>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</si>
  <si>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</si>
  <si>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</si>
  <si>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</si>
  <si>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</si>
  <si>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</si>
  <si>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</si>
  <si>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</si>
  <si>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</si>
  <si>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</si>
  <si>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</si>
  <si>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</si>
  <si>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</si>
  <si>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</si>
  <si>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</si>
  <si>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</si>
  <si>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</si>
  <si>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</si>
  <si>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</si>
  <si>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</si>
  <si>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</si>
  <si>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</si>
  <si>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</si>
  <si>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</si>
  <si>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</si>
  <si>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</si>
  <si>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</si>
  <si>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</si>
  <si>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</si>
  <si>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</si>
  <si>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</si>
  <si>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</si>
  <si>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</si>
  <si>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</si>
  <si>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</si>
  <si>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</si>
  <si>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</si>
  <si>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</si>
  <si>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</si>
  <si>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</si>
  <si>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</si>
  <si>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</si>
  <si>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</si>
  <si>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</si>
  <si>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</si>
  <si>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</si>
  <si>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</si>
  <si>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</si>
  <si>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</si>
  <si>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</si>
  <si>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</si>
  <si>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</si>
  <si>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</si>
  <si>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</si>
  <si>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</si>
  <si>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</si>
  <si>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</si>
  <si>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</si>
  <si>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</si>
  <si>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</si>
  <si>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</si>
  <si>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</si>
  <si>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</si>
  <si>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</si>
  <si>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</si>
  <si>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</si>
  <si>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</si>
  <si>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</si>
  <si>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</si>
  <si>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</si>
  <si>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</si>
  <si>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</si>
  <si>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</si>
  <si>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</si>
  <si>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</si>
  <si>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</si>
  <si>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</si>
  <si>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</si>
  <si>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</si>
  <si>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</si>
  <si>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</si>
  <si>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</si>
  <si>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</si>
  <si>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</si>
  <si>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</si>
  <si>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</si>
  <si>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</si>
  <si>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</si>
  <si>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</si>
  <si>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</si>
  <si>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</si>
  <si>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</si>
  <si>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</si>
  <si>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</si>
  <si>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</si>
  <si>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</si>
  <si>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</si>
  <si>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</si>
  <si>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</si>
  <si>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</si>
  <si>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</si>
  <si>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</si>
  <si>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</si>
  <si>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</si>
  <si>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</si>
  <si>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</si>
  <si>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</si>
  <si>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</si>
  <si>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</si>
  <si>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</si>
  <si>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</si>
  <si>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</si>
  <si>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</si>
  <si>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</si>
  <si>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</si>
  <si>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</si>
  <si>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</si>
  <si>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</si>
  <si>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</si>
  <si>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</si>
  <si>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</si>
  <si>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</si>
  <si>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</si>
  <si>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</si>
  <si>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</si>
  <si>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</si>
  <si>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</si>
  <si>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</si>
  <si>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</si>
  <si>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</si>
  <si>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</si>
  <si>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</si>
  <si>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</si>
  <si>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</si>
  <si>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</si>
  <si>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</si>
  <si>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</si>
  <si>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</si>
  <si>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</si>
  <si>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</si>
  <si>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</si>
  <si>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</si>
  <si>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</si>
  <si>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</si>
  <si>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</si>
  <si>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</si>
  <si>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</si>
  <si>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</si>
  <si>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</si>
  <si>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</si>
  <si>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</si>
  <si>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</si>
  <si>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</si>
  <si>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</si>
  <si>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</si>
  <si>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</si>
  <si>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</si>
  <si>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</si>
  <si>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</si>
  <si>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</si>
  <si>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</si>
  <si>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</si>
  <si>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</si>
  <si>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</si>
  <si>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</si>
  <si>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</si>
  <si>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</si>
  <si>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</si>
  <si>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</si>
  <si>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</si>
  <si>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</si>
  <si>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</si>
  <si>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</si>
  <si>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</si>
  <si>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</si>
  <si>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</si>
  <si>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</si>
  <si>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</si>
  <si>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</si>
  <si>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</si>
  <si>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</si>
  <si>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</si>
  <si>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</si>
  <si>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</si>
  <si>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</si>
  <si>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</si>
  <si>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</si>
  <si>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</si>
  <si>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</si>
  <si>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</si>
  <si>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</si>
  <si>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</si>
  <si>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</si>
  <si>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</si>
  <si>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</si>
  <si>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</si>
  <si>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</si>
  <si>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</si>
  <si>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</si>
  <si>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</si>
  <si>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</si>
  <si>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</si>
  <si>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</si>
  <si>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</si>
  <si>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</si>
  <si>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</si>
  <si>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</si>
  <si>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</si>
  <si>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</si>
  <si>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</si>
  <si>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</si>
  <si>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</si>
  <si>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</si>
  <si>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</si>
  <si>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</si>
  <si>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</si>
  <si>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</si>
  <si>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</si>
  <si>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</si>
  <si>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</si>
  <si>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</si>
  <si>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</si>
  <si>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</si>
  <si>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</si>
  <si>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</si>
  <si>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</si>
  <si>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</si>
  <si>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</si>
  <si>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</si>
  <si>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</si>
  <si>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</si>
  <si>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</si>
  <si>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</si>
  <si>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</si>
  <si>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</si>
  <si>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</si>
  <si>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</si>
  <si>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</si>
  <si>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</si>
  <si>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</si>
  <si>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</si>
  <si>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</si>
  <si>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</si>
  <si>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</si>
  <si>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</si>
  <si>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</si>
  <si>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</si>
  <si>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</si>
  <si>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</si>
  <si>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</si>
  <si>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</si>
  <si>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</si>
  <si>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</si>
  <si>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</si>
  <si>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</si>
  <si>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</si>
  <si>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</si>
  <si>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</si>
  <si>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</si>
  <si>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</si>
  <si>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</si>
  <si>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</si>
  <si>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</si>
  <si>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</si>
  <si>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</si>
  <si>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</si>
  <si>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</si>
  <si>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</si>
  <si>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</si>
  <si>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</si>
  <si>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</si>
  <si>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</si>
  <si>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</si>
  <si>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</si>
  <si>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</si>
  <si>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</si>
  <si>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</si>
  <si>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</si>
  <si>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</si>
  <si>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</si>
  <si>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</si>
  <si>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</si>
  <si>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</si>
  <si>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</si>
  <si>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</si>
  <si>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</si>
  <si>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</si>
  <si>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</si>
  <si>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</si>
  <si>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</si>
  <si>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</si>
  <si>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</si>
  <si>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</si>
  <si>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</si>
  <si>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</si>
  <si>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</si>
  <si>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</si>
  <si>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</si>
  <si>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</si>
  <si>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</si>
  <si>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</si>
  <si>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</si>
  <si>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</si>
  <si>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</si>
  <si>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</si>
  <si>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</si>
  <si>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</si>
  <si>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</si>
  <si>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</si>
  <si>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</si>
  <si>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</si>
  <si>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</si>
  <si>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</si>
  <si>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</si>
  <si>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</si>
  <si>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</si>
  <si>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</si>
  <si>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</si>
  <si>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</si>
  <si>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</si>
  <si>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</si>
  <si>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</si>
  <si>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</si>
  <si>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</si>
  <si>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</si>
  <si>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</si>
  <si>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</si>
  <si>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</si>
  <si>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</si>
  <si>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</si>
  <si>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</si>
  <si>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</si>
  <si>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</si>
  <si>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</si>
  <si>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</si>
  <si>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</si>
  <si>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</si>
  <si>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</si>
  <si>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</si>
  <si>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</si>
  <si>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</si>
  <si>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</si>
  <si>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</si>
  <si>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</si>
  <si>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</si>
  <si>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</si>
  <si>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</si>
  <si>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</si>
  <si>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</si>
  <si>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</si>
  <si>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</si>
  <si>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</si>
  <si>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</si>
  <si>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</si>
  <si>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</si>
  <si>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</si>
  <si>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</si>
  <si>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</si>
  <si>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</si>
  <si>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</si>
  <si>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</si>
  <si>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</si>
  <si>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</si>
  <si>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</si>
  <si>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</si>
  <si>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</si>
  <si>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</si>
  <si>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</si>
  <si>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</si>
  <si>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</si>
  <si>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</si>
  <si>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</si>
  <si>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</si>
  <si>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</si>
  <si>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</si>
  <si>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</si>
  <si>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</si>
  <si>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</si>
  <si>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</si>
  <si>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</si>
  <si>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</si>
  <si>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</si>
  <si>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</si>
  <si>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</si>
  <si>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</si>
  <si>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</si>
  <si>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</si>
  <si>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</si>
  <si>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</si>
  <si>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</si>
  <si>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</si>
  <si>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</si>
  <si>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</si>
  <si>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</si>
  <si>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</si>
  <si>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</si>
  <si>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</si>
  <si>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</si>
  <si>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</si>
  <si>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</si>
  <si>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</si>
  <si>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</si>
  <si>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</si>
  <si>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</si>
  <si>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</si>
  <si>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</si>
  <si>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</si>
  <si>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</si>
  <si>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</si>
  <si>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</si>
  <si>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</si>
  <si>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</si>
  <si>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</si>
  <si>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</si>
  <si>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</si>
  <si>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</si>
  <si>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</si>
  <si>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</si>
  <si>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</si>
  <si>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</si>
  <si>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</si>
  <si>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</si>
  <si>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</si>
  <si>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</si>
  <si>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</si>
  <si>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</si>
  <si>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</si>
  <si>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</si>
  <si>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</si>
  <si>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</si>
  <si>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</si>
  <si>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</si>
  <si>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</si>
  <si>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</si>
  <si>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</si>
  <si>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</si>
  <si>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</si>
  <si>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</si>
  <si>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</si>
  <si>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</si>
  <si>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</si>
  <si>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</si>
  <si>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</si>
  <si>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</si>
  <si>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</si>
  <si>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</si>
  <si>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</si>
  <si>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</si>
  <si>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</si>
  <si>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</si>
  <si>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</si>
  <si>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</si>
  <si>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</si>
  <si>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</si>
  <si>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</si>
  <si>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</si>
  <si>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</si>
  <si>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</si>
  <si>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</si>
  <si>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</si>
  <si>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</si>
  <si>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</si>
  <si>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</si>
  <si>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</si>
  <si>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</si>
  <si>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</si>
  <si>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</si>
  <si>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</si>
  <si>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</si>
  <si>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</si>
  <si>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</si>
  <si>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</si>
  <si>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</si>
  <si>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</si>
  <si>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</si>
  <si>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</si>
  <si>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</si>
  <si>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</si>
  <si>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</si>
  <si>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</si>
  <si>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</si>
  <si>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</si>
  <si>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</si>
  <si>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</si>
  <si>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</si>
  <si>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</si>
  <si>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</si>
  <si>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</si>
  <si>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</si>
  <si>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</si>
  <si>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</si>
  <si>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</si>
  <si>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</si>
  <si>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</si>
  <si>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</si>
  <si>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</si>
  <si>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</si>
  <si>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</si>
  <si>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</si>
  <si>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</si>
  <si>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</si>
  <si>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</si>
  <si>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</si>
  <si>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</si>
  <si>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</si>
  <si>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</si>
  <si>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</si>
  <si>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</si>
  <si>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</si>
  <si>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</si>
  <si>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</si>
  <si>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</si>
  <si>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</si>
  <si>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</si>
  <si>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</si>
  <si>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</si>
  <si>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</si>
  <si>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</si>
  <si>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</si>
  <si>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</si>
  <si>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</si>
  <si>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</si>
  <si>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</si>
  <si>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</si>
  <si>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</si>
  <si>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</si>
  <si>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</si>
  <si>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</si>
  <si>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</si>
  <si>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</si>
  <si>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</si>
  <si>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</si>
  <si>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</si>
  <si>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</si>
  <si>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</si>
  <si>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</si>
  <si>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</si>
  <si>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</si>
  <si>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</si>
  <si>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</si>
  <si>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</si>
  <si>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</si>
  <si>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</si>
  <si>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</si>
  <si>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</si>
  <si>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</si>
  <si>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</si>
  <si>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</si>
  <si>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</si>
  <si>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</si>
  <si>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</si>
  <si>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</si>
  <si>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</si>
  <si>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</si>
  <si>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</si>
  <si>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</si>
  <si>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</si>
  <si>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</si>
  <si>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</si>
  <si>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</si>
  <si>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</si>
  <si>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</si>
  <si>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</si>
  <si>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</si>
  <si>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</si>
  <si>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</si>
  <si>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</si>
  <si>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</si>
  <si>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</si>
  <si>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</si>
  <si>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</si>
  <si>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</si>
  <si>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</si>
  <si>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</si>
  <si>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</si>
  <si>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</si>
  <si>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</si>
  <si>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</si>
  <si>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</si>
  <si>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</si>
  <si>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</si>
  <si>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</si>
  <si>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</si>
  <si>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</si>
  <si>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</si>
  <si>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</si>
  <si>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</si>
  <si>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</si>
  <si>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</si>
  <si>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</si>
  <si>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</si>
  <si>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</si>
  <si>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</si>
  <si>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</si>
  <si>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</si>
  <si>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</si>
  <si>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</si>
  <si>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</si>
  <si>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</si>
  <si>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</si>
  <si>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</si>
  <si>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</si>
  <si>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</si>
  <si>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</si>
  <si>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</si>
  <si>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</si>
  <si>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</si>
  <si>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</si>
  <si>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</si>
  <si>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</si>
  <si>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</si>
  <si>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</si>
  <si>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</si>
  <si>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</si>
  <si>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</si>
  <si>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</si>
  <si>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</si>
  <si>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</si>
  <si>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</si>
  <si>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</si>
  <si>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</si>
  <si>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</si>
  <si>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</si>
  <si>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</si>
  <si>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</si>
  <si>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</si>
  <si>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</si>
  <si>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</si>
  <si>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</si>
  <si>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</si>
  <si>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</si>
  <si>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</si>
  <si>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</si>
  <si>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</si>
  <si>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</si>
  <si>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</si>
  <si>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</si>
  <si>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</si>
  <si>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</si>
  <si>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</si>
  <si>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</si>
  <si>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</si>
  <si>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</si>
  <si>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</si>
  <si>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</si>
  <si>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</si>
  <si>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</si>
  <si>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</si>
  <si>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</si>
  <si>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</si>
  <si>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</si>
  <si>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</si>
  <si>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</si>
  <si>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</si>
  <si>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</si>
  <si>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</si>
  <si>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</si>
  <si>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</si>
  <si>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</si>
  <si>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</si>
  <si>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</si>
  <si>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</si>
  <si>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</si>
  <si>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</si>
  <si>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</si>
  <si>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</si>
  <si>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</si>
  <si>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</si>
  <si>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</si>
  <si>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</si>
  <si>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</si>
  <si>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</si>
  <si>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</si>
  <si>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</si>
  <si>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</si>
  <si>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</si>
  <si>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</si>
  <si>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</si>
  <si>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</si>
  <si>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</si>
  <si>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</si>
  <si>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</si>
  <si>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</si>
  <si>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</si>
  <si>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</si>
  <si>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</si>
  <si>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</si>
  <si>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</si>
  <si>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</si>
  <si>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</si>
  <si>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</si>
  <si>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</si>
  <si>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</si>
  <si>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</si>
  <si>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</si>
  <si>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</si>
  <si>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</si>
  <si>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</si>
  <si>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</si>
  <si>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</si>
  <si>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</si>
  <si>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</si>
  <si>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</si>
  <si>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</si>
  <si>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</si>
  <si>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</si>
  <si>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</si>
  <si>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</si>
  <si>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</si>
  <si>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</si>
  <si>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</si>
  <si>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</si>
  <si>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</si>
  <si>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</si>
  <si>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</si>
  <si>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</si>
  <si>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</si>
  <si>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</si>
  <si>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</si>
  <si>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</si>
  <si>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</si>
  <si>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</si>
  <si>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</si>
  <si>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</si>
  <si>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</si>
  <si>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</si>
  <si>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</si>
  <si>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</si>
  <si>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</si>
  <si>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</si>
  <si>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</si>
  <si>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</si>
  <si>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</si>
  <si>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</si>
  <si>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</si>
  <si>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</si>
  <si>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</si>
  <si>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</si>
  <si>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</si>
  <si>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</si>
  <si>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</si>
  <si>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</si>
  <si>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</si>
  <si>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</si>
  <si>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</si>
  <si>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</si>
  <si>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</si>
  <si>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</si>
  <si>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</si>
  <si>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</si>
  <si>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</si>
  <si>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</si>
  <si>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</si>
  <si>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</si>
  <si>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</si>
  <si>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</si>
  <si>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</si>
  <si>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</si>
  <si>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</si>
  <si>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</si>
  <si>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</si>
  <si>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</si>
  <si>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</si>
  <si>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</si>
  <si>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</si>
  <si>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</si>
  <si>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</si>
  <si>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</si>
  <si>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</si>
  <si>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</si>
  <si>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</si>
  <si>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</si>
  <si>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</si>
  <si>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</si>
  <si>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</si>
  <si>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</si>
  <si>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</si>
  <si>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</si>
  <si>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</si>
  <si>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</si>
  <si>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</si>
  <si>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</si>
  <si>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</si>
  <si>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</si>
  <si>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</si>
  <si>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</si>
  <si>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</si>
  <si>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</si>
  <si>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</si>
  <si>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</si>
  <si>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</si>
  <si>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</si>
  <si>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</si>
  <si>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</si>
  <si>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</si>
  <si>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</si>
  <si>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</si>
  <si>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</si>
  <si>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</si>
  <si>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</si>
  <si>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</si>
  <si>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</si>
  <si>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</si>
  <si>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</si>
  <si>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</si>
  <si>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</si>
  <si>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</si>
  <si>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</si>
  <si>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</si>
  <si>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</si>
  <si>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</si>
  <si>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</si>
  <si>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</si>
  <si>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</si>
  <si>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</si>
  <si>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</si>
  <si>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</si>
  <si>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</si>
  <si>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</si>
  <si>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</si>
  <si>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</si>
  <si>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</si>
  <si>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</si>
  <si>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</si>
  <si>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</si>
  <si>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</si>
  <si>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</si>
  <si>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</si>
  <si>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</si>
  <si>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</si>
  <si>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</si>
  <si>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</si>
  <si>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</si>
  <si>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</si>
  <si>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</si>
  <si>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</si>
  <si>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</si>
  <si>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</si>
  <si>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</si>
  <si>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</si>
  <si>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</si>
  <si>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</si>
  <si>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</si>
  <si>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</si>
  <si>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</si>
  <si>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</si>
  <si>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</si>
  <si>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</si>
  <si>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</si>
  <si>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</si>
  <si>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</si>
  <si>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</si>
  <si>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</si>
  <si>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</si>
  <si>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</si>
  <si>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</si>
  <si>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</si>
  <si>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</si>
  <si>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</si>
  <si>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</si>
  <si>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</si>
  <si>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</si>
  <si>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</si>
  <si>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</si>
  <si>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</si>
  <si>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</si>
  <si>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</si>
  <si>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</si>
  <si>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</si>
  <si>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</si>
  <si>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</si>
  <si>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</si>
  <si>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</si>
  <si>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</si>
  <si>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</si>
  <si>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</si>
  <si>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</si>
  <si>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</si>
  <si>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</si>
  <si>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</si>
  <si>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</si>
  <si>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</si>
  <si>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</si>
  <si>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</si>
  <si>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</si>
  <si>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</si>
  <si>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</si>
  <si>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</si>
  <si>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</si>
  <si>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</si>
  <si>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</si>
  <si>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</si>
  <si>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</si>
  <si>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</si>
  <si>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</si>
  <si>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</si>
  <si>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</si>
  <si>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</si>
  <si>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</si>
  <si>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</si>
  <si>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</si>
  <si>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</si>
  <si>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</si>
  <si>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</si>
  <si>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</si>
  <si>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</si>
  <si>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</si>
  <si>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</si>
  <si>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</si>
  <si>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</si>
  <si>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</si>
  <si>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</si>
  <si>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</si>
  <si>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</si>
  <si>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</si>
  <si>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</si>
  <si>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</si>
  <si>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</si>
  <si>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</si>
  <si>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</si>
  <si>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</si>
  <si>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</si>
  <si>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</si>
  <si>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</si>
  <si>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</si>
  <si>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</si>
  <si>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</si>
  <si>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</si>
  <si>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</si>
  <si>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</si>
  <si>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</si>
  <si>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</si>
  <si>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</si>
  <si>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</si>
  <si>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</si>
  <si>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</si>
  <si>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</si>
  <si>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</si>
  <si>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</si>
  <si>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</si>
  <si>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</si>
  <si>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</si>
  <si>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</si>
  <si>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</si>
  <si>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</si>
  <si>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</si>
  <si>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</si>
  <si>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</si>
  <si>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</si>
  <si>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</si>
  <si>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</si>
  <si>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</si>
  <si>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</si>
  <si>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</si>
  <si>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</si>
  <si>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</si>
  <si>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</si>
  <si>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</si>
  <si>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</si>
  <si>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</si>
  <si>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</si>
  <si>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</si>
  <si>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</si>
  <si>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</si>
  <si>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</si>
  <si>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</si>
  <si>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</si>
  <si>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</si>
  <si>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</si>
  <si>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</si>
  <si>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</si>
  <si>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</si>
  <si>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</si>
  <si>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</si>
  <si>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</si>
  <si>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</si>
  <si>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</si>
  <si>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</si>
  <si>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</si>
  <si>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</si>
  <si>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</si>
  <si>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</si>
  <si>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</si>
  <si>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</si>
  <si>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</si>
  <si>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</si>
  <si>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</si>
  <si>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</si>
  <si>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</si>
  <si>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</si>
  <si>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</si>
  <si>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</si>
  <si>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</si>
  <si>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</si>
  <si>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</si>
  <si>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</si>
  <si>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</si>
  <si>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</si>
  <si>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</si>
  <si>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</si>
  <si>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</si>
  <si>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</si>
  <si>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</si>
  <si>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</si>
  <si>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</si>
  <si>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</si>
  <si>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</si>
  <si>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</si>
  <si>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</si>
  <si>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</si>
  <si>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</si>
  <si>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</si>
  <si>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</si>
  <si>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</si>
  <si>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</si>
  <si>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</si>
  <si>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</si>
  <si>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</si>
  <si>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</si>
  <si>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</si>
  <si>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</si>
  <si>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</si>
  <si>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</si>
  <si>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</si>
  <si>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</si>
  <si>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</si>
  <si>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</si>
  <si>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</si>
  <si>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</si>
  <si>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</si>
  <si>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</si>
  <si>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</si>
  <si>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</si>
  <si>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</si>
  <si>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</si>
  <si>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</si>
  <si>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</si>
  <si>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</si>
  <si>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</si>
  <si>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</si>
  <si>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</si>
  <si>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</si>
  <si>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</si>
  <si>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</si>
  <si>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</si>
  <si>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</si>
  <si>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</si>
  <si>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</si>
  <si>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</si>
  <si>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</si>
  <si>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</si>
  <si>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</si>
  <si>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</si>
  <si>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</si>
  <si>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</si>
  <si>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</si>
  <si>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</si>
  <si>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</si>
  <si>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</si>
  <si>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</si>
  <si>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</si>
  <si>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</si>
  <si>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</si>
  <si>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</si>
  <si>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</si>
  <si>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</si>
  <si>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</si>
  <si>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</si>
  <si>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</si>
  <si>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</si>
  <si>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</si>
  <si>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</si>
  <si>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</si>
  <si>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</si>
  <si>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</si>
  <si>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</si>
  <si>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</si>
  <si>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</si>
  <si>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</si>
  <si>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</si>
  <si>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</si>
  <si>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</si>
  <si>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</si>
  <si>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</si>
  <si>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</si>
  <si>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</si>
  <si>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</si>
  <si>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</si>
  <si>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</si>
  <si>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</si>
  <si>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</si>
  <si>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</si>
  <si>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</si>
  <si>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</si>
  <si>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</si>
  <si>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</si>
  <si>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</si>
  <si>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</si>
  <si>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</si>
  <si>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</si>
  <si>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</si>
  <si>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</si>
  <si>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</si>
  <si>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</si>
  <si>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</si>
  <si>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</si>
  <si>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</si>
  <si>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</si>
  <si>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</si>
  <si>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</si>
  <si>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</si>
  <si>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</si>
  <si>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</si>
  <si>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</si>
  <si>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</si>
  <si>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</si>
  <si>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</si>
  <si>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</si>
  <si>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</si>
  <si>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</si>
  <si>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</si>
  <si>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</si>
  <si>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</si>
  <si>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</si>
  <si>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</si>
  <si>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</si>
  <si>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</si>
  <si>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</si>
  <si>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</si>
  <si>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</si>
  <si>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</si>
  <si>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</si>
  <si>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</si>
  <si>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</si>
  <si>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</si>
  <si>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</si>
  <si>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</si>
  <si>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</si>
  <si>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</si>
  <si>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</si>
  <si>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</si>
  <si>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</si>
  <si>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</si>
  <si>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</si>
  <si>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</si>
  <si>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</si>
  <si>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</si>
  <si>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</si>
  <si>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</si>
  <si>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</si>
  <si>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</si>
  <si>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</si>
  <si>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</si>
  <si>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</si>
  <si>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</si>
  <si>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</si>
  <si>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</si>
  <si>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</si>
  <si>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</si>
  <si>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</si>
  <si>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</si>
  <si>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</si>
  <si>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</si>
  <si>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</si>
  <si>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</si>
  <si>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</si>
  <si>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</si>
  <si>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</si>
  <si>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</si>
  <si>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</si>
  <si>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</si>
  <si>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</si>
  <si>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</si>
  <si>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</si>
  <si>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</si>
  <si>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</si>
  <si>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</si>
  <si>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</si>
  <si>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</si>
  <si>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</si>
  <si>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</si>
  <si>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</si>
  <si>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</si>
  <si>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</si>
  <si>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</si>
  <si>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</si>
  <si>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</si>
  <si>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</si>
  <si>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</si>
  <si>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</si>
  <si>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</si>
  <si>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</si>
  <si>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</si>
  <si>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</si>
  <si>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</si>
  <si>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</si>
  <si>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</si>
  <si>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</si>
  <si>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</si>
  <si>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</si>
  <si>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</si>
  <si>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</si>
  <si>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</si>
  <si>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</si>
  <si>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</si>
  <si>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</si>
  <si>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</si>
  <si>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</si>
  <si>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</si>
  <si>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</si>
  <si>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</si>
  <si>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</si>
  <si>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</si>
  <si>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</si>
  <si>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</si>
  <si>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</si>
  <si>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</si>
  <si>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</si>
  <si>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</si>
  <si>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</si>
  <si>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</si>
  <si>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</si>
  <si>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</si>
  <si>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</si>
  <si>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</si>
  <si>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</si>
  <si>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</si>
  <si>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</si>
  <si>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</si>
  <si>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</si>
  <si>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</si>
  <si>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</si>
  <si>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</si>
  <si>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</si>
  <si>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</si>
  <si>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</si>
  <si>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</si>
  <si>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</si>
  <si>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</si>
  <si>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</si>
  <si>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</si>
  <si>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</si>
  <si>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</si>
  <si>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</si>
  <si>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</si>
  <si>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</si>
  <si>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</si>
  <si>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</si>
  <si>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</si>
  <si>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</si>
  <si>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</si>
  <si>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</si>
  <si>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</si>
  <si>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</si>
  <si>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</si>
  <si>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</si>
  <si>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</si>
  <si>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</si>
  <si>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</si>
  <si>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</si>
  <si>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</si>
  <si>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</si>
  <si>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</si>
  <si>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</si>
  <si>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</si>
  <si>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</si>
  <si>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</si>
  <si>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</si>
  <si>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</si>
  <si>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</si>
  <si>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</si>
  <si>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</si>
  <si>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</si>
  <si>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</si>
  <si>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</si>
  <si>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</si>
  <si>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</si>
  <si>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</si>
  <si>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</si>
  <si>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</si>
  <si>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</si>
  <si>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</si>
  <si>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</si>
  <si>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</si>
  <si>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</si>
  <si>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</si>
  <si>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</si>
  <si>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</si>
  <si>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</si>
  <si>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</si>
  <si>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</si>
  <si>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</si>
  <si>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</si>
  <si>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</si>
  <si>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</si>
  <si>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</si>
  <si>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</si>
  <si>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</si>
  <si>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</si>
  <si>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</si>
  <si>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</si>
  <si>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</si>
  <si>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</si>
  <si>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</si>
  <si>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</si>
  <si>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</si>
  <si>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</si>
  <si>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</si>
  <si>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</si>
  <si>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</si>
  <si>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</si>
  <si>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</si>
  <si>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</si>
  <si>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</si>
  <si>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</si>
  <si>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</si>
  <si>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</si>
  <si>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</si>
  <si>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</si>
  <si>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</si>
  <si>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</si>
  <si>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</si>
  <si>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</si>
  <si>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</si>
  <si>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</si>
  <si>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</si>
  <si>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</si>
  <si>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</si>
  <si>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</si>
  <si>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</si>
  <si>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</si>
  <si>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</si>
  <si>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</si>
  <si>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</si>
  <si>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</si>
  <si>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</si>
  <si>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</si>
  <si>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</si>
  <si>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</si>
  <si>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</si>
  <si>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</si>
  <si>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</si>
  <si>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</si>
  <si>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</si>
  <si>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</si>
  <si>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</si>
  <si>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</si>
  <si>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</si>
  <si>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</si>
  <si>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</si>
  <si>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</si>
  <si>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</si>
  <si>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</si>
  <si>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</si>
  <si>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</si>
  <si>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</si>
  <si>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</si>
  <si>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</si>
  <si>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</si>
  <si>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</si>
  <si>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</si>
  <si>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</si>
  <si>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</si>
  <si>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</si>
  <si>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</si>
  <si>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</si>
  <si>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</si>
  <si>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</si>
  <si>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</si>
  <si>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</si>
  <si>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</si>
  <si>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</si>
  <si>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</si>
  <si>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</si>
  <si>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</si>
  <si>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</si>
  <si>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</si>
  <si>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</si>
  <si>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</si>
  <si>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</si>
  <si>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</si>
  <si>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</si>
  <si>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</si>
  <si>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</si>
  <si>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</si>
  <si>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</si>
  <si>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</si>
  <si>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</si>
  <si>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</si>
  <si>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</si>
  <si>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</si>
  <si>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</si>
  <si>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</si>
  <si>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</si>
  <si>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</si>
  <si>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</si>
  <si>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</si>
  <si>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</si>
  <si>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</si>
  <si>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</si>
  <si>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</si>
  <si>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</si>
  <si>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</si>
  <si>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</si>
  <si>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</si>
  <si>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</si>
  <si>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</si>
  <si>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</si>
  <si>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</si>
  <si>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</si>
  <si>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</si>
  <si>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</si>
  <si>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</si>
  <si>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</si>
  <si>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</si>
  <si>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</si>
  <si>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</si>
  <si>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</si>
  <si>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</si>
  <si>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</si>
  <si>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</si>
  <si>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</si>
  <si>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</si>
  <si>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</si>
  <si>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</si>
  <si>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</si>
  <si>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</si>
  <si>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</si>
  <si>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</si>
  <si>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</si>
  <si>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</si>
  <si>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</si>
  <si>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</si>
  <si>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</si>
  <si>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</si>
  <si>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</si>
  <si>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</si>
  <si>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</si>
  <si>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</si>
  <si>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</si>
  <si>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</si>
  <si>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</si>
  <si>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</si>
  <si>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</si>
  <si>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</si>
  <si>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</si>
  <si>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</si>
  <si>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</si>
  <si>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</si>
  <si>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</si>
  <si>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</si>
  <si>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</si>
  <si>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</si>
  <si>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</si>
  <si>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</si>
  <si>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</si>
  <si>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</si>
  <si>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</si>
  <si>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</si>
  <si>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</si>
  <si>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</si>
  <si>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</si>
  <si>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</si>
  <si>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</si>
  <si>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</si>
  <si>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</si>
  <si>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</si>
  <si>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</si>
  <si>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</si>
  <si>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</si>
  <si>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</si>
  <si>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</si>
  <si>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</si>
  <si>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</si>
  <si>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</si>
  <si>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</si>
  <si>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</si>
  <si>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</si>
  <si>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</si>
  <si>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</si>
  <si>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</si>
  <si>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</si>
  <si>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</si>
  <si>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</si>
  <si>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</si>
  <si>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</si>
  <si>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</si>
  <si>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</si>
  <si>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</si>
  <si>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</si>
  <si>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</si>
  <si>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</si>
  <si>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</si>
  <si>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</si>
  <si>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</si>
  <si>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</si>
  <si>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</si>
  <si>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</si>
  <si>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</si>
  <si>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</si>
  <si>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</si>
  <si>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</si>
  <si>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</si>
  <si>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</si>
  <si>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</si>
  <si>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</si>
  <si>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</si>
  <si>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</si>
  <si>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</si>
  <si>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</si>
  <si>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</si>
  <si>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</si>
  <si>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</si>
  <si>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</si>
  <si>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</si>
  <si>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</si>
  <si>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</si>
  <si>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</si>
  <si>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</si>
  <si>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</si>
  <si>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</si>
  <si>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</si>
  <si>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</si>
  <si>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</si>
  <si>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</si>
  <si>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</si>
  <si>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</si>
  <si>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</si>
  <si>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</si>
  <si>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</si>
  <si>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</si>
  <si>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</si>
  <si>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</si>
  <si>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</si>
  <si>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</si>
  <si>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</si>
  <si>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</si>
  <si>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</si>
  <si>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</si>
  <si>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</si>
  <si>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</si>
  <si>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</si>
  <si>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</si>
  <si>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</si>
  <si>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</si>
  <si>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</si>
  <si>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</si>
  <si>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</si>
  <si>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</si>
  <si>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</si>
  <si>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</si>
  <si>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</si>
  <si>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</si>
  <si>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</si>
  <si>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</si>
  <si>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</si>
  <si>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</si>
  <si>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</si>
  <si>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</si>
  <si>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</si>
  <si>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</si>
  <si>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</si>
  <si>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</si>
  <si>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</si>
  <si>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</si>
  <si>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</si>
  <si>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</si>
  <si>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</si>
  <si>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</si>
  <si>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</si>
  <si>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</si>
  <si>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</si>
  <si>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</si>
  <si>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</si>
  <si>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</si>
  <si>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</si>
  <si>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</si>
  <si>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</si>
  <si>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</si>
  <si>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</si>
  <si>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</si>
  <si>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</si>
  <si>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</si>
  <si>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</si>
  <si>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</si>
  <si>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</si>
  <si>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</si>
  <si>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</si>
  <si>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</si>
  <si>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</si>
  <si>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</si>
  <si>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</si>
  <si>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</si>
  <si>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</si>
  <si>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</si>
  <si>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</si>
  <si>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</si>
  <si>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</si>
  <si>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</si>
  <si>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</si>
  <si>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</si>
  <si>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</si>
  <si>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</si>
  <si>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</si>
  <si>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</si>
  <si>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</si>
  <si>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</si>
  <si>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</si>
  <si>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</si>
  <si>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</si>
  <si>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</si>
  <si>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</si>
  <si>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</si>
  <si>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</si>
  <si>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</si>
  <si>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</si>
  <si>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</si>
  <si>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</si>
  <si>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</si>
  <si>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</si>
  <si>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</si>
  <si>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</si>
  <si>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</si>
  <si>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</si>
  <si>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</si>
  <si>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</si>
  <si>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</si>
  <si>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</si>
  <si>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</si>
  <si>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</si>
  <si>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</si>
  <si>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</si>
  <si>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</si>
  <si>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</si>
  <si>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</si>
  <si>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</si>
  <si>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</si>
  <si>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</si>
  <si>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</si>
  <si>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</si>
  <si>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</si>
  <si>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</si>
  <si>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</si>
  <si>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</si>
  <si>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</si>
  <si>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</si>
  <si>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</si>
  <si>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</si>
  <si>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</si>
  <si>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</si>
  <si>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</si>
  <si>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</si>
  <si>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</si>
  <si>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</si>
  <si>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</si>
  <si>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</si>
  <si>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</si>
  <si>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</si>
  <si>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</si>
  <si>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</si>
  <si>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</si>
  <si>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</si>
  <si>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</si>
  <si>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</si>
  <si>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</si>
  <si>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</si>
  <si>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</si>
  <si>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</si>
  <si>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</si>
  <si>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</si>
  <si>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</si>
  <si>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</si>
  <si>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</si>
  <si>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</si>
  <si>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</si>
  <si>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</si>
  <si>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</si>
  <si>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</si>
  <si>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</si>
  <si>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</si>
  <si>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</si>
  <si>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</si>
  <si>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</si>
  <si>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</si>
  <si>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</si>
  <si>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</si>
  <si>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</si>
  <si>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</si>
  <si>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</si>
  <si>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</si>
  <si>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</si>
  <si>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</si>
  <si>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</si>
  <si>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</si>
  <si>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</si>
  <si>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</si>
  <si>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</si>
  <si>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</si>
  <si>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</si>
  <si>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</si>
  <si>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</si>
  <si>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</si>
  <si>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</si>
  <si>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</si>
  <si>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</si>
  <si>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</si>
  <si>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</si>
  <si>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</si>
  <si>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</si>
  <si>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</si>
  <si>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</si>
  <si>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</si>
  <si>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</si>
  <si>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</si>
  <si>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</si>
  <si>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</si>
  <si>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</si>
  <si>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</si>
  <si>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</si>
  <si>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</si>
  <si>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</si>
  <si>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</si>
  <si>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</si>
  <si>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</si>
  <si>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</si>
  <si>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</si>
  <si>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</si>
  <si>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</si>
  <si>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</si>
  <si>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</si>
  <si>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</si>
  <si>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</si>
  <si>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</si>
  <si>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</si>
  <si>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</si>
  <si>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</si>
  <si>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</si>
  <si>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</si>
  <si>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</si>
  <si>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</si>
  <si>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</si>
  <si>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</si>
  <si>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</si>
  <si>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</si>
  <si>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</si>
  <si>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</si>
  <si>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</si>
  <si>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</si>
  <si>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</si>
  <si>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</si>
  <si>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</si>
  <si>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</si>
  <si>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</si>
  <si>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</si>
  <si>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</si>
  <si>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</si>
  <si>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</si>
  <si>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</si>
  <si>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</si>
  <si>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</si>
  <si>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</si>
  <si>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</si>
  <si>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</si>
  <si>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</si>
  <si>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</si>
  <si>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</si>
  <si>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</si>
  <si>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</si>
  <si>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</si>
  <si>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</si>
  <si>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</si>
  <si>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</si>
  <si>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</si>
  <si>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</si>
  <si>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</si>
  <si>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</si>
  <si>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</si>
  <si>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</si>
  <si>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</si>
  <si>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</si>
  <si>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</si>
  <si>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</si>
  <si>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</si>
  <si>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</si>
  <si>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</si>
  <si>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</si>
  <si>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</si>
  <si>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</si>
  <si>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</si>
  <si>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</si>
  <si>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</si>
  <si>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</si>
  <si>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</si>
  <si>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</si>
  <si>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</si>
  <si>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</si>
  <si>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</si>
  <si>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</si>
  <si>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</si>
  <si>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</si>
  <si>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</si>
  <si>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</si>
  <si>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</si>
  <si>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</si>
  <si>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</si>
  <si>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</si>
  <si>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</si>
  <si>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</si>
  <si>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</si>
  <si>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</si>
  <si>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</si>
  <si>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</si>
  <si>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</si>
  <si>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</si>
  <si>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</si>
  <si>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</si>
  <si>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</si>
  <si>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</si>
  <si>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</si>
  <si>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</si>
  <si>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</si>
  <si>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</si>
  <si>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</si>
  <si>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</si>
  <si>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</si>
  <si>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</si>
  <si>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</si>
  <si>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</si>
  <si>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</si>
  <si>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</si>
  <si>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</si>
  <si>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</si>
  <si>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</si>
  <si>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</si>
  <si>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</si>
  <si>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</si>
  <si>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</si>
  <si>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</si>
  <si>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</si>
  <si>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</si>
  <si>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</si>
  <si>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</si>
  <si>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</si>
  <si>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</si>
  <si>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</si>
  <si>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</si>
  <si>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</si>
  <si>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</si>
  <si>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</si>
  <si>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</si>
  <si>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</si>
  <si>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</si>
  <si>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</si>
  <si>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</si>
  <si>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</si>
  <si>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</si>
  <si>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</si>
  <si>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</si>
  <si>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</si>
  <si>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</si>
  <si>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</si>
  <si>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</si>
  <si>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</si>
  <si>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</si>
  <si>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</si>
  <si>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</si>
  <si>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</si>
  <si>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</si>
  <si>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</si>
  <si>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</si>
  <si>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</si>
  <si>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</si>
  <si>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</si>
  <si>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</si>
  <si>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</si>
  <si>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</si>
  <si>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</si>
  <si>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</si>
  <si>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</si>
  <si>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</si>
  <si>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</si>
  <si>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</si>
  <si>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</si>
  <si>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</si>
  <si>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</si>
  <si>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</si>
  <si>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</si>
  <si>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</si>
  <si>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</si>
  <si>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</si>
  <si>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</si>
  <si>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</si>
  <si>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</si>
  <si>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</si>
  <si>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</si>
  <si>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</si>
  <si>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</si>
  <si>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</si>
  <si>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</si>
  <si>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</si>
  <si>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</si>
  <si>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</si>
  <si>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</si>
  <si>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</si>
  <si>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</si>
  <si>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</si>
  <si>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</si>
  <si>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</si>
  <si>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</si>
  <si>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</si>
  <si>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</si>
  <si>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</si>
  <si>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</si>
  <si>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</si>
  <si>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</si>
  <si>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</si>
  <si>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</si>
  <si>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</si>
  <si>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</si>
  <si>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</si>
  <si>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</si>
  <si>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</si>
  <si>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</si>
  <si>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</si>
  <si>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</si>
  <si>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</si>
  <si>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</si>
  <si>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</si>
  <si>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</si>
  <si>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</si>
  <si>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</si>
  <si>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</si>
  <si>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</si>
  <si>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</si>
  <si>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</si>
  <si>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</si>
  <si>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</si>
  <si>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</si>
  <si>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</si>
  <si>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</si>
  <si>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</si>
  <si>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</si>
  <si>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</si>
  <si>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</si>
  <si>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</si>
  <si>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</si>
  <si>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</si>
  <si>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</si>
  <si>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</si>
  <si>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</si>
  <si>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</si>
  <si>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</si>
  <si>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</si>
  <si>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</si>
  <si>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</si>
  <si>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</si>
  <si>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</si>
  <si>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</si>
  <si>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</si>
  <si>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</si>
  <si>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</si>
  <si>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</si>
  <si>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</si>
  <si>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</si>
  <si>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</si>
  <si>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</si>
  <si>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</si>
  <si>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</si>
  <si>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</si>
  <si>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</si>
  <si>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</si>
  <si>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</si>
  <si>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</si>
  <si>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</si>
  <si>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</si>
  <si>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</si>
  <si>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</si>
  <si>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</si>
  <si>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</si>
  <si>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</si>
  <si>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</si>
  <si>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</si>
  <si>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</si>
  <si>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</si>
  <si>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</si>
  <si>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</si>
  <si>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</si>
  <si>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</si>
  <si>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</si>
  <si>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</si>
  <si>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</si>
  <si>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</si>
  <si>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</si>
  <si>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</si>
  <si>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</si>
  <si>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</si>
  <si>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</si>
  <si>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</si>
  <si>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</si>
  <si>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</si>
  <si>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</si>
  <si>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</si>
  <si>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</si>
  <si>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</si>
  <si>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</si>
  <si>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</si>
  <si>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</si>
  <si>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</si>
  <si>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</si>
  <si>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</si>
  <si>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</si>
  <si>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</si>
  <si>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</si>
  <si>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</si>
  <si>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</si>
  <si>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</si>
  <si>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</si>
  <si>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</si>
  <si>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</si>
  <si>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</si>
  <si>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</si>
  <si>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</si>
  <si>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</si>
  <si>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</si>
  <si>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</si>
  <si>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</si>
  <si>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</si>
  <si>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</si>
  <si>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</si>
  <si>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</si>
  <si>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</si>
  <si>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</si>
  <si>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</si>
  <si>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</si>
  <si>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</si>
  <si>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</si>
  <si>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</si>
  <si>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</si>
  <si>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</si>
  <si>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</si>
  <si>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</si>
  <si>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</si>
  <si>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</si>
  <si>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</si>
  <si>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</si>
  <si>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</si>
  <si>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</si>
  <si>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</si>
  <si>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</si>
  <si>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</si>
  <si>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</si>
  <si>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</si>
  <si>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</si>
  <si>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</si>
  <si>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</si>
  <si>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</si>
  <si>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</si>
  <si>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</si>
  <si>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</si>
  <si>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</si>
  <si>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</si>
  <si>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</si>
  <si>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</si>
  <si>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</si>
  <si>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</si>
  <si>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</si>
  <si>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</si>
  <si>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</si>
  <si>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</si>
  <si>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</si>
  <si>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</si>
  <si>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</si>
  <si>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</si>
  <si>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</si>
  <si>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</si>
  <si>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</si>
  <si>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</si>
  <si>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</si>
  <si>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</si>
  <si>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</si>
  <si>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</si>
  <si>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</si>
  <si>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</si>
  <si>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</si>
  <si>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</si>
  <si>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</si>
  <si>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</si>
  <si>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</si>
  <si>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</si>
  <si>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</si>
  <si>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</si>
  <si>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</si>
  <si>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</si>
  <si>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</si>
  <si>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</si>
  <si>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</si>
  <si>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</si>
  <si>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</si>
  <si>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</si>
  <si>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</si>
  <si>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</si>
  <si>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</si>
  <si>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</si>
  <si>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</si>
  <si>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</si>
  <si>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</si>
  <si>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</si>
  <si>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</si>
  <si>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</si>
  <si>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</si>
  <si>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</si>
  <si>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</si>
  <si>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</si>
  <si>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</si>
  <si>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</si>
  <si>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</si>
  <si>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</si>
  <si>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</si>
  <si>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</si>
  <si>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</si>
  <si>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</si>
  <si>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</si>
  <si>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</si>
  <si>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</si>
  <si>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</si>
  <si>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</si>
  <si>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</si>
  <si>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</si>
  <si>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</si>
  <si>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</si>
  <si>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</si>
  <si>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</si>
  <si>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</si>
  <si>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</si>
  <si>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</si>
  <si>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</si>
  <si>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</si>
  <si>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</si>
  <si>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</si>
  <si>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</si>
  <si>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</si>
  <si>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</si>
  <si>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</si>
  <si>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</si>
  <si>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</si>
  <si>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</si>
  <si>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</si>
  <si>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</si>
  <si>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</si>
  <si>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</si>
  <si>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</si>
  <si>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</si>
  <si>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</si>
  <si>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</si>
  <si>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</si>
  <si>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</si>
  <si>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</si>
  <si>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</si>
  <si>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</si>
  <si>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</si>
  <si>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</si>
  <si>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</si>
  <si>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</si>
  <si>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</si>
  <si>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</si>
  <si>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</si>
  <si>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</si>
  <si>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</si>
  <si>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</si>
  <si>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</si>
  <si>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</si>
  <si>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</si>
  <si>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</si>
  <si>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</si>
  <si>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</si>
  <si>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</si>
  <si>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</si>
  <si>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</si>
  <si>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</si>
  <si>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</si>
  <si>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</si>
  <si>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</si>
  <si>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</si>
  <si>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</si>
  <si>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</si>
  <si>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</si>
  <si>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</si>
  <si>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</si>
  <si>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</si>
  <si>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</si>
  <si>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</si>
  <si>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</si>
  <si>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</si>
  <si>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</si>
  <si>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</si>
  <si>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</si>
  <si>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</si>
  <si>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</si>
  <si>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</si>
  <si>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</si>
  <si>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</si>
  <si>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</si>
  <si>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</si>
  <si>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</si>
  <si>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</si>
  <si>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</si>
  <si>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</si>
  <si>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</si>
  <si>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</si>
  <si>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</si>
  <si>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</si>
  <si>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</si>
  <si>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</si>
  <si>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</si>
  <si>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</si>
  <si>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</si>
  <si>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</si>
  <si>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</si>
  <si>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</si>
  <si>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</si>
  <si>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</si>
  <si>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</si>
  <si>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</si>
  <si>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</si>
  <si>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</si>
  <si>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</si>
  <si>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</si>
  <si>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</si>
  <si>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</si>
  <si>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</si>
  <si>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</si>
  <si>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</si>
  <si>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</si>
  <si>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</si>
  <si>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</si>
  <si>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</si>
  <si>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</si>
  <si>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</si>
  <si>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</si>
  <si>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</si>
  <si>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</si>
  <si>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</si>
  <si>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</si>
  <si>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</si>
  <si>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</si>
  <si>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</si>
  <si>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</si>
  <si>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</si>
  <si>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</si>
  <si>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</si>
  <si>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</si>
  <si>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</si>
  <si>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</si>
  <si>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</si>
  <si>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</si>
  <si>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</si>
  <si>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</si>
  <si>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</si>
  <si>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</si>
  <si>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</si>
  <si>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</si>
  <si>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</si>
  <si>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</si>
  <si>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</si>
  <si>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</si>
  <si>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</si>
  <si>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</si>
  <si>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</si>
  <si>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</si>
  <si>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</si>
  <si>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</si>
  <si>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</si>
  <si>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</si>
  <si>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</si>
  <si>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</si>
  <si>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</si>
  <si>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</si>
  <si>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</si>
  <si>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</si>
  <si>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</si>
  <si>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</si>
  <si>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</si>
  <si>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</si>
  <si>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</si>
  <si>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</si>
  <si>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</si>
  <si>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</si>
  <si>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</si>
  <si>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</si>
  <si>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</si>
  <si>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</si>
  <si>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</si>
  <si>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</si>
  <si>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</si>
  <si>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</si>
  <si>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</si>
  <si>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</si>
  <si>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</si>
  <si>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</si>
  <si>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</si>
  <si>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</si>
  <si>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</si>
  <si>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</si>
  <si>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</si>
  <si>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</si>
  <si>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</si>
  <si>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</si>
  <si>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</si>
  <si>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</si>
  <si>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</si>
  <si>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</si>
  <si>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</si>
  <si>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</si>
  <si>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</si>
  <si>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</si>
  <si>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</si>
  <si>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</si>
  <si>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</si>
  <si>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</si>
  <si>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</si>
  <si>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</si>
  <si>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</si>
  <si>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</si>
  <si>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</si>
  <si>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</si>
  <si>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</si>
  <si>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</si>
  <si>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</si>
  <si>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</si>
  <si>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</si>
  <si>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</si>
  <si>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</si>
  <si>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</si>
  <si>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</si>
  <si>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</si>
  <si>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</si>
  <si>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</si>
  <si>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</si>
  <si>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</si>
  <si>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</si>
  <si>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</si>
  <si>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</si>
  <si>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</si>
  <si>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</si>
  <si>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</si>
  <si>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</si>
  <si>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</si>
  <si>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</si>
  <si>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</si>
  <si>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</si>
  <si>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</si>
  <si>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</si>
  <si>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</si>
  <si>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</si>
  <si>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</si>
  <si>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</si>
  <si>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</si>
  <si>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</si>
  <si>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</si>
  <si>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</si>
  <si>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</si>
  <si>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</si>
  <si>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</si>
  <si>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</si>
  <si>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</si>
  <si>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</si>
  <si>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</si>
  <si>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</si>
  <si>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</si>
  <si>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</si>
  <si>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</si>
  <si>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</si>
  <si>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</si>
  <si>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</si>
  <si>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</si>
  <si>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</si>
  <si>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</si>
  <si>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</si>
  <si>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</si>
  <si>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</si>
  <si>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</si>
  <si>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</si>
  <si>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</si>
  <si>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</si>
  <si>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</si>
  <si>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</si>
  <si>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</si>
  <si>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</si>
  <si>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</si>
  <si>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</si>
  <si>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</si>
  <si>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</si>
  <si>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</si>
  <si>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</si>
  <si>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</si>
  <si>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</si>
  <si>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</si>
  <si>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</si>
  <si>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</si>
  <si>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</si>
  <si>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</si>
  <si>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</si>
  <si>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</si>
  <si>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</si>
  <si>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</si>
  <si>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</si>
  <si>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</si>
  <si>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</si>
  <si>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</si>
  <si>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</si>
  <si>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</si>
  <si>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</si>
  <si>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</si>
  <si>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</si>
  <si>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</si>
  <si>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</si>
  <si>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</si>
  <si>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</si>
  <si>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</si>
  <si>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</si>
  <si>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</si>
  <si>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</si>
  <si>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</si>
  <si>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</si>
  <si>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</si>
  <si>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</si>
  <si>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</si>
  <si>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</si>
  <si>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</si>
  <si>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</si>
  <si>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</si>
  <si>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</si>
  <si>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</si>
  <si>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</si>
  <si>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</si>
  <si>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</si>
  <si>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</si>
  <si>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</si>
  <si>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</si>
  <si>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</si>
  <si>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</si>
  <si>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</si>
  <si>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</si>
  <si>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</si>
  <si>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</si>
  <si>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</si>
  <si>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</si>
  <si>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</si>
  <si>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</si>
  <si>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</si>
  <si>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</si>
  <si>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</si>
  <si>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</si>
  <si>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</si>
  <si>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</si>
  <si>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</si>
  <si>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</si>
  <si>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</si>
  <si>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</si>
  <si>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</si>
  <si>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</si>
  <si>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</si>
  <si>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</si>
  <si>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</si>
  <si>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</si>
  <si>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</si>
  <si>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</si>
  <si>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</si>
  <si>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</si>
  <si>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</si>
  <si>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</si>
  <si>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</si>
  <si>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</si>
  <si>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</si>
  <si>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</si>
  <si>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</si>
  <si>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</si>
  <si>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</si>
  <si>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</si>
  <si>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</si>
  <si>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</si>
  <si>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</si>
  <si>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</si>
  <si>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</si>
  <si>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</si>
  <si>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</si>
  <si>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</si>
  <si>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</si>
  <si>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</si>
  <si>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</si>
  <si>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</si>
  <si>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</si>
  <si>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</si>
  <si>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</si>
  <si>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</si>
  <si>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</si>
  <si>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</si>
  <si>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</si>
  <si>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</si>
  <si>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</si>
  <si>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</si>
  <si>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</si>
  <si>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</si>
  <si>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</si>
  <si>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</si>
  <si>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</si>
  <si>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</si>
  <si>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</si>
  <si>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</si>
  <si>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</si>
  <si>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</si>
  <si>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</si>
  <si>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</si>
  <si>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</si>
  <si>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</si>
  <si>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</si>
  <si>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</si>
  <si>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</si>
  <si>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</si>
  <si>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</si>
  <si>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</si>
  <si>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</si>
  <si>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</si>
  <si>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</si>
  <si>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</si>
  <si>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</si>
  <si>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</si>
  <si>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</si>
  <si>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</si>
  <si>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</si>
  <si>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</si>
  <si>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</si>
  <si>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</si>
  <si>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</si>
  <si>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</si>
  <si>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</si>
  <si>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</si>
  <si>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</si>
  <si>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</si>
  <si>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</si>
  <si>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</si>
  <si>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</si>
  <si>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</si>
  <si>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</si>
  <si>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</si>
  <si>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</si>
  <si>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</si>
  <si>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</si>
  <si>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</si>
  <si>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</si>
  <si>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</si>
  <si>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</si>
  <si>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</si>
  <si>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</si>
  <si>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</si>
  <si>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</si>
  <si>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</si>
  <si>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</si>
  <si>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</si>
  <si>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</si>
  <si>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</si>
  <si>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</si>
  <si>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</si>
  <si>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</si>
  <si>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</si>
  <si>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</si>
  <si>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</si>
  <si>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</si>
  <si>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</si>
  <si>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</si>
  <si>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</si>
  <si>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</si>
  <si>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</si>
  <si>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</si>
  <si>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</si>
  <si>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</si>
  <si>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</si>
  <si>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</si>
  <si>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</si>
  <si>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</si>
  <si>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</si>
  <si>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</si>
  <si>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</si>
  <si>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</si>
  <si>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</si>
  <si>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</si>
  <si>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</si>
  <si>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</si>
  <si>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</si>
  <si>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</si>
  <si>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</si>
  <si>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</si>
  <si>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</si>
  <si>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</si>
  <si>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</si>
  <si>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</si>
  <si>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</si>
  <si>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</si>
  <si>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</si>
  <si>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</si>
  <si>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</si>
  <si>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</si>
  <si>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</si>
  <si>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</si>
  <si>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</si>
  <si>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</si>
  <si>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</si>
  <si>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</si>
  <si>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</si>
  <si>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</si>
  <si>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</si>
  <si>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</si>
  <si>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</si>
  <si>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</si>
  <si>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</si>
  <si>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</si>
  <si>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</si>
  <si>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</si>
  <si>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</si>
  <si>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</si>
  <si>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</si>
  <si>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</si>
  <si>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</si>
  <si>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</si>
  <si>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</si>
  <si>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</si>
  <si>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</si>
  <si>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</si>
  <si>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</si>
  <si>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</si>
  <si>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</si>
  <si>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</si>
  <si>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</si>
  <si>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</si>
  <si>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</si>
  <si>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</si>
  <si>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</si>
  <si>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</si>
  <si>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</si>
  <si>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</si>
  <si>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</si>
  <si>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</si>
  <si>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</si>
  <si>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</si>
  <si>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</si>
  <si>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</si>
  <si>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</si>
  <si>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</si>
  <si>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</si>
  <si>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</si>
  <si>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</si>
  <si>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</si>
  <si>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</si>
  <si>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</si>
  <si>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</si>
  <si>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</si>
  <si>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</si>
  <si>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</si>
  <si>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</si>
  <si>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</si>
  <si>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</si>
  <si>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</si>
  <si>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</si>
  <si>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</si>
  <si>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</si>
  <si>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</si>
  <si>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</si>
  <si>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</si>
  <si>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</si>
  <si>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</si>
  <si>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</si>
  <si>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</si>
  <si>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</si>
  <si>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</si>
  <si>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</si>
  <si>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</si>
  <si>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</si>
  <si>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</si>
  <si>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</si>
  <si>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</si>
  <si>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</si>
  <si>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</si>
  <si>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</si>
  <si>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</si>
  <si>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</si>
  <si>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</si>
  <si>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</si>
  <si>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</si>
  <si>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</si>
  <si>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</si>
  <si>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</si>
  <si>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</si>
  <si>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</si>
  <si>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</si>
  <si>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</si>
  <si>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</si>
  <si>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</si>
  <si>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</si>
  <si>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</si>
  <si>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</si>
  <si>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</si>
  <si>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</si>
  <si>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</si>
  <si>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</si>
  <si>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</si>
  <si>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</si>
  <si>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</si>
  <si>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</si>
  <si>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</si>
  <si>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</si>
  <si>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</si>
  <si>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</si>
  <si>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</si>
  <si>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</si>
  <si>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</si>
  <si>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</si>
  <si>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</si>
  <si>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</si>
  <si>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</si>
  <si>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</si>
  <si>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</si>
  <si>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</si>
  <si>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</si>
  <si>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</si>
  <si>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</si>
  <si>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</si>
  <si>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</si>
  <si>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</si>
  <si>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</si>
  <si>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</si>
  <si>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</si>
  <si>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</si>
  <si>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</si>
  <si>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</si>
  <si>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</si>
  <si>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</si>
  <si>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</si>
  <si>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</si>
  <si>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</si>
  <si>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</si>
  <si>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</si>
  <si>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</si>
  <si>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</si>
  <si>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</si>
  <si>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</si>
  <si>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</si>
  <si>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</si>
  <si>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</si>
  <si>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</si>
  <si>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</si>
  <si>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</si>
  <si>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</si>
  <si>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</si>
  <si>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</si>
  <si>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</si>
  <si>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</si>
  <si>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</si>
  <si>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</si>
  <si>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</si>
  <si>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</si>
  <si>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</si>
  <si>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</si>
  <si>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</si>
  <si>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</si>
  <si>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</si>
  <si>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</si>
  <si>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</si>
  <si>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</si>
  <si>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</si>
  <si>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</si>
  <si>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</si>
  <si>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</si>
  <si>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</si>
  <si>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</si>
  <si>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</si>
  <si>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</si>
  <si>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</si>
  <si>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</si>
  <si>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</si>
  <si>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</si>
  <si>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</si>
  <si>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</si>
  <si>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</si>
  <si>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</si>
  <si>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</si>
  <si>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</si>
  <si>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</si>
  <si>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</si>
  <si>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</si>
  <si>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</si>
  <si>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</si>
  <si>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</si>
  <si>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</si>
  <si>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</si>
  <si>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</si>
  <si>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</si>
  <si>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</si>
  <si>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</si>
  <si>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</si>
  <si>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</si>
  <si>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</si>
  <si>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</si>
  <si>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</si>
  <si>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</si>
  <si>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</si>
  <si>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</si>
  <si>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</si>
  <si>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</si>
  <si>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</si>
  <si>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</si>
  <si>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</si>
  <si>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</si>
  <si>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</si>
  <si>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</si>
  <si>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</si>
  <si>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</si>
  <si>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</si>
  <si>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</si>
  <si>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</si>
  <si>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</si>
  <si>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</si>
  <si>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</si>
  <si>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</si>
  <si>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</si>
  <si>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</si>
  <si>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</si>
  <si>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</si>
  <si>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</si>
  <si>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</si>
  <si>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</si>
  <si>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</si>
  <si>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</si>
  <si>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</si>
  <si>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</si>
  <si>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</si>
  <si>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</si>
  <si>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</si>
  <si>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</si>
  <si>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</si>
  <si>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</si>
  <si>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</si>
  <si>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</si>
  <si>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</si>
  <si>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</si>
  <si>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</si>
  <si>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</si>
  <si>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</si>
  <si>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</si>
  <si>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</si>
  <si>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</si>
  <si>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</si>
  <si>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</si>
  <si>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</si>
  <si>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</si>
  <si>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</si>
  <si>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</si>
  <si>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</si>
  <si>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</si>
  <si>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</si>
  <si>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</si>
  <si>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</si>
  <si>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</si>
  <si>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</si>
  <si>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</si>
  <si>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</si>
  <si>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</si>
  <si>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</si>
  <si>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</si>
  <si>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</si>
  <si>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</si>
  <si>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</si>
  <si>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</si>
  <si>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</si>
  <si>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</si>
  <si>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</si>
  <si>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</si>
  <si>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</si>
  <si>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</si>
  <si>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</si>
  <si>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</si>
  <si>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</si>
  <si>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</si>
  <si>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</si>
  <si>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</si>
  <si>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</si>
  <si>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</si>
  <si>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</si>
  <si>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</si>
  <si>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</si>
  <si>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</si>
  <si>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</si>
  <si>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</si>
  <si>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</si>
  <si>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</si>
  <si>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</si>
  <si>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</si>
  <si>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</si>
  <si>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</si>
  <si>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</si>
  <si>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</si>
  <si>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</si>
  <si>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</si>
  <si>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</si>
  <si>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</si>
  <si>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</si>
  <si>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</si>
  <si>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</si>
  <si>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</si>
  <si>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</si>
  <si>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</si>
  <si>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</si>
  <si>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</si>
  <si>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</si>
  <si>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</si>
  <si>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</si>
  <si>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</si>
  <si>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</si>
  <si>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</si>
  <si>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</si>
  <si>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</si>
  <si>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</si>
  <si>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</si>
  <si>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</si>
  <si>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</si>
  <si>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</si>
  <si>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</si>
  <si>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</si>
  <si>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</si>
  <si>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</si>
  <si>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</si>
  <si>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</si>
  <si>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</si>
  <si>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</si>
  <si>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</si>
  <si>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</si>
  <si>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</si>
  <si>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</si>
  <si>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</si>
  <si>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</si>
  <si>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</si>
  <si>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</si>
  <si>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</si>
  <si>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</si>
  <si>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</si>
  <si>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</si>
  <si>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</si>
  <si>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</si>
  <si>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</si>
  <si>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</si>
  <si>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</si>
  <si>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</si>
  <si>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</si>
  <si>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</si>
  <si>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</si>
  <si>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</si>
  <si>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</si>
  <si>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</si>
  <si>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</si>
  <si>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</si>
  <si>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</si>
  <si>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</si>
  <si>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</si>
  <si>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</si>
  <si>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</si>
  <si>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</si>
  <si>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</si>
  <si>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</si>
  <si>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</si>
  <si>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</si>
  <si>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</si>
  <si>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</si>
  <si>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</si>
  <si>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</si>
  <si>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</si>
  <si>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</si>
  <si>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</si>
  <si>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</si>
  <si>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</si>
  <si>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</si>
  <si>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</si>
  <si>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</si>
  <si>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</si>
  <si>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</si>
  <si>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</si>
  <si>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</si>
  <si>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</si>
  <si>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</si>
  <si>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</si>
  <si>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</si>
  <si>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</si>
  <si>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</si>
  <si>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</si>
  <si>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</si>
  <si>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</si>
  <si>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</si>
  <si>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</si>
  <si>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</si>
  <si>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</si>
  <si>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</si>
  <si>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</si>
  <si>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</si>
  <si>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</si>
  <si>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</si>
  <si>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</si>
  <si>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</si>
  <si>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</si>
  <si>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</si>
  <si>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</si>
  <si>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</si>
  <si>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</si>
  <si>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</si>
  <si>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</si>
  <si>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</si>
  <si>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</si>
  <si>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</si>
  <si>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</si>
  <si>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</si>
  <si>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</si>
  <si>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</si>
  <si>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</si>
  <si>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</si>
  <si>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</si>
  <si>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</si>
  <si>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</si>
  <si>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</si>
  <si>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</si>
  <si>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</si>
  <si>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</si>
  <si>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</si>
  <si>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</si>
  <si>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</si>
  <si>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</si>
  <si>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</si>
  <si>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</si>
  <si>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</si>
  <si>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</si>
  <si>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</si>
  <si>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</si>
  <si>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</si>
  <si>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</si>
  <si>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</si>
  <si>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</si>
  <si>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</si>
  <si>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</si>
  <si>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</si>
  <si>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</si>
  <si>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</si>
  <si>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</si>
  <si>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</si>
  <si>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</si>
  <si>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</si>
  <si>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</si>
  <si>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</si>
  <si>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</si>
  <si>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</si>
  <si>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</si>
  <si>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</si>
  <si>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</si>
  <si>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</si>
  <si>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</si>
  <si>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</si>
  <si>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</si>
  <si>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</si>
  <si>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</si>
  <si>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</si>
  <si>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</si>
  <si>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</si>
  <si>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</si>
  <si>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</si>
  <si>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</si>
  <si>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</si>
  <si>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</si>
  <si>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</si>
  <si>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</si>
  <si>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</si>
  <si>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</si>
  <si>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</si>
  <si>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</si>
  <si>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</si>
  <si>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</si>
  <si>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</si>
  <si>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</si>
  <si>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</si>
  <si>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</si>
  <si>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</si>
  <si>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</si>
  <si>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</si>
  <si>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</si>
  <si>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</si>
  <si>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</si>
  <si>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</si>
  <si>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</si>
  <si>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</si>
  <si>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</si>
  <si>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</si>
  <si>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</si>
  <si>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</si>
  <si>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</si>
  <si>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</si>
  <si>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</si>
  <si>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</si>
  <si>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</si>
  <si>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</si>
  <si>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</si>
  <si>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</si>
  <si>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</si>
  <si>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</si>
  <si>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</si>
  <si>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</si>
  <si>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</si>
  <si>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</si>
  <si>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</si>
  <si>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</si>
  <si>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</si>
  <si>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</si>
  <si>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</si>
  <si>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</si>
  <si>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</si>
  <si>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</si>
  <si>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</si>
  <si>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</si>
  <si>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</si>
  <si>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</si>
  <si>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</si>
  <si>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</si>
  <si>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</si>
  <si>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</si>
  <si>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</si>
  <si>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</si>
  <si>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</si>
  <si>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</si>
  <si>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</si>
  <si>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</si>
  <si>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</si>
  <si>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</si>
  <si>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</si>
  <si>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</si>
  <si>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</si>
  <si>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</si>
  <si>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</si>
  <si>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</si>
  <si>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</si>
  <si>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</si>
  <si>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</si>
  <si>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</si>
  <si>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</si>
  <si>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</si>
  <si>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</si>
  <si>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</si>
  <si>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</si>
  <si>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</si>
  <si>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</si>
  <si>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</si>
  <si>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</si>
  <si>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</si>
  <si>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</si>
  <si>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</si>
  <si>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</si>
  <si>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</si>
  <si>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</si>
  <si>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</si>
  <si>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</si>
  <si>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</si>
  <si>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</si>
  <si>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</si>
  <si>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</si>
  <si>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</si>
  <si>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</si>
  <si>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</si>
  <si>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</si>
  <si>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</si>
  <si>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</si>
  <si>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</si>
  <si>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</si>
  <si>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</si>
  <si>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</si>
  <si>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</si>
  <si>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</si>
  <si>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</si>
  <si>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</si>
  <si>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</si>
  <si>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</si>
  <si>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</si>
  <si>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</si>
  <si>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</si>
  <si>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</si>
  <si>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</si>
  <si>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</si>
  <si>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</si>
  <si>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</si>
  <si>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</si>
  <si>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</si>
  <si>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</si>
  <si>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</si>
  <si>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</si>
  <si>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</si>
  <si>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</si>
  <si>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</si>
  <si>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</si>
  <si>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</si>
  <si>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</si>
  <si>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</si>
  <si>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</si>
  <si>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</si>
  <si>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</si>
  <si>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</si>
  <si>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</si>
  <si>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</si>
  <si>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</si>
  <si>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</si>
  <si>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</si>
  <si>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Metric</t>
  </si>
  <si>
    <t>Value</t>
  </si>
  <si>
    <t>Data Type/Notes</t>
  </si>
  <si>
    <t>Total  Rows</t>
  </si>
  <si>
    <t>Integer (Matches the actiive rows found by the tool)</t>
  </si>
  <si>
    <t>Total columns</t>
  </si>
  <si>
    <t>Columns A through T</t>
  </si>
  <si>
    <t>Duplicates Found</t>
  </si>
  <si>
    <t>Confirmed by Data Cleanup tool</t>
  </si>
  <si>
    <t>Blank Cells (Cols S&amp;T)</t>
  </si>
  <si>
    <t>Empty structural data grids</t>
  </si>
  <si>
    <t>Highest Risk Column</t>
  </si>
  <si>
    <t>Columns S &amp; T</t>
  </si>
  <si>
    <t>High volume of unmapped fields</t>
  </si>
  <si>
    <t>Statistical Metric</t>
  </si>
  <si>
    <t>Sales Value</t>
  </si>
  <si>
    <t>Mean (Avg)</t>
  </si>
  <si>
    <t>Median</t>
  </si>
  <si>
    <t>Standard Deviation</t>
  </si>
  <si>
    <t>25th Percentile (Q1)</t>
  </si>
  <si>
    <t>75th Percentile (Q3)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</si>
</sst>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conditionalFormatting sqref="R1:R9803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39.25"/>
  </cols>
  <sheetData>
    <row r="1">
      <c r="A1" s="1" t="s">
        <v>11709</v>
      </c>
      <c r="B1" s="1" t="s">
        <v>11710</v>
      </c>
      <c r="C1" s="1" t="s">
        <v>11711</v>
      </c>
    </row>
    <row r="2">
      <c r="A2" s="1" t="s">
        <v>11712</v>
      </c>
      <c r="B2" s="1">
        <v>9801.0</v>
      </c>
      <c r="C2" s="1" t="s">
        <v>11713</v>
      </c>
    </row>
    <row r="3">
      <c r="A3" s="1" t="s">
        <v>11714</v>
      </c>
      <c r="B3" s="1">
        <v>20.0</v>
      </c>
      <c r="C3" s="1" t="s">
        <v>11715</v>
      </c>
    </row>
    <row r="4">
      <c r="A4" s="1" t="s">
        <v>11716</v>
      </c>
      <c r="B4" s="1">
        <v>0.0</v>
      </c>
      <c r="C4" s="1" t="s">
        <v>11717</v>
      </c>
    </row>
    <row r="5">
      <c r="A5" s="1" t="s">
        <v>11718</v>
      </c>
      <c r="B5" s="1">
        <v>19602.0</v>
      </c>
      <c r="C5" s="1" t="s">
        <v>11719</v>
      </c>
    </row>
    <row r="6">
      <c r="A6" s="1" t="s">
        <v>11720</v>
      </c>
      <c r="B6" s="1" t="s">
        <v>11721</v>
      </c>
      <c r="C6" s="1" t="s">
        <v>11722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3.38"/>
  </cols>
  <sheetData>
    <row r="1">
      <c r="A1" s="1" t="s">
        <v>11723</v>
      </c>
      <c r="B1" s="1" t="s">
        <v>11724</v>
      </c>
    </row>
    <row r="2">
      <c r="A2" s="1" t="s">
        <v>11725</v>
      </c>
      <c r="B2" s="4">
        <f>AVERAGE(Cleaned_Data!R:R)</f>
        <v>230.7690595</v>
      </c>
    </row>
    <row r="3">
      <c r="A3" s="1" t="s">
        <v>11726</v>
      </c>
      <c r="B3" s="4">
        <f>MEDIAN(Cleaned_Data!R:R)</f>
        <v>54.49</v>
      </c>
    </row>
    <row r="4">
      <c r="A4" s="1" t="s">
        <v>11727</v>
      </c>
      <c r="B4" s="4">
        <f>_xlfn.STDEV.P(Cleaned_Data!R:R)</f>
        <v>626.619902</v>
      </c>
    </row>
    <row r="5">
      <c r="A5" s="1" t="s">
        <v>11728</v>
      </c>
      <c r="B5" s="4">
        <f>QUARTILE(Cleaned_Data!R:R, 1)</f>
        <v>17.248</v>
      </c>
    </row>
    <row r="6">
      <c r="A6" s="1" t="s">
        <v>11729</v>
      </c>
      <c r="B6" s="4">
        <f>QUARTILE(Cleaned_Data!R:R, 3)</f>
        <v>210.605</v>
      </c>
    </row>
  </sheetData>
  <drawing r:id="rId1"/>
</worksheet>
</file>